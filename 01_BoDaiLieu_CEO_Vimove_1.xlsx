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ô tả công việc" sheetId="1" state="visible" r:id="rId3"/>
    <sheet name="Khung năng lực" sheetId="2" state="visible" r:id="rId4"/>
    <sheet name="Câu hỏi phỏng vấn" sheetId="3" state="visible" r:id="rId5"/>
    <sheet name="Score Card ứng viên" sheetId="4" state="visible" r:id="rId6"/>
    <sheet name="Kế hoạch 30-60-90 ngà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<sst xmlns="http://schemas.openxmlformats.org/spreadsheetml/2006/main" count="541" uniqueCount="430">
  <si>
    <t xml:space="preserve">MÔ TẢ CÔNG VIỆC – TỔNG GIÁM ĐỐC / CEO</t>
  </si>
  <si>
    <t xml:space="preserve">Vimove | TMĐT Vali · Hành lý | Shopee · TikTok Shop · Lazada · Website D2C</t>
  </si>
  <si>
    <t xml:space="preserve">▌ THÔNG TIN VỊ TRÍ</t>
  </si>
  <si>
    <t xml:space="preserve">HẠNG MỤC</t>
  </si>
  <si>
    <t xml:space="preserve">NỘI DUNG</t>
  </si>
  <si>
    <t xml:space="preserve">Chức danh:</t>
  </si>
  <si>
    <t xml:space="preserve">Tổng Giám Đốc / Chief Executive Officer (CEO)</t>
  </si>
  <si>
    <t xml:space="preserve">Cấp bậc:</t>
  </si>
  <si>
    <t xml:space="preserve">C-Suite — Cấp cao nhất</t>
  </si>
  <si>
    <t xml:space="preserve">Báo cáo lên:</t>
  </si>
  <si>
    <t xml:space="preserve">Hội đồng Quản trị / Chủ tịch HĐQT</t>
  </si>
  <si>
    <t xml:space="preserve">Quản lý trực tiếp:</t>
  </si>
  <si>
    <t xml:space="preserve">GĐ Kinh doanh · GĐ Vận hành · GĐ Hỗ trợ</t>
  </si>
  <si>
    <t xml:space="preserve">Phụ trách:</t>
  </si>
  <si>
    <t xml:space="preserve">Toàn bộ hoạt động kinh doanh, vận hành, tài chính, nhân sự</t>
  </si>
  <si>
    <t xml:space="preserve">Địa điểm:</t>
  </si>
  <si>
    <t xml:space="preserve">Văn phòng Vimove + Remote linh hoạt</t>
  </si>
  <si>
    <t xml:space="preserve">Loại HĐ:</t>
  </si>
  <si>
    <t xml:space="preserve">Toàn thời gian — Hợp đồng Lao động dài hạn</t>
  </si>
  <si>
    <t xml:space="preserve">Ngày hiệu lực:</t>
  </si>
  <si>
    <t xml:space="preserve">___/___/______</t>
  </si>
  <si>
    <t xml:space="preserve">▌ SỨ MỆNH VỊ TRÍ</t>
  </si>
  <si>
    <t xml:space="preserve">CEO là người chịu trách nhiệm cao nhất về tăng trưởng GMV bền vững của Vimove trên các sàn TMĐT, xây dựng đội ngũ xuất sắc và vận hành tổ chức hiệu quả — đưa Vimove trở thành Top 3 thương hiệu vali/hành lý trên Shopee &amp; TikTok Shop tại Việt Nam trong 3 năm tới.</t>
  </si>
  <si>
    <t xml:space="preserve">▌ TRÁCH NHIỆM CHÍNH &amp; KPI</t>
  </si>
  <si>
    <t xml:space="preserve">#</t>
  </si>
  <si>
    <t xml:space="preserve">TRÁCH NHIỆM / NHIỆM VỤ</t>
  </si>
  <si>
    <t xml:space="preserve">KPI / TIÊU CHUẨN</t>
  </si>
  <si>
    <t xml:space="preserve">TẦN SUẤT</t>
  </si>
  <si>
    <t xml:space="preserve">MỨC TT</t>
  </si>
  <si>
    <t xml:space="preserve">PHỐI HỢP</t>
  </si>
  <si>
    <t xml:space="preserve">NHÓM 1 – CHIẾN LƯỢC &amp; TĂNG TRƯỞNG GMV TỔNG CÔNG TY</t>
  </si>
  <si>
    <t xml:space="preserve">1.1</t>
  </si>
  <si>
    <t xml:space="preserve">Xác định tầm nhìn, chiến lược kinh doanh năm/3 năm cho Vimove: định vị thương hiệu trên TMĐT, lựa chọn kênh ưu tiên, mục tiêu GMV, ngân sách đầu tư. Trình HĐQT phê duyệt và cascade xuống toàn tổ chức.</t>
  </si>
  <si>
    <t xml:space="preserve">• GMV năm đạt ≥ 95% KH
• Tăng trưởng GMV ≥ 30% YoY
• Kế hoạch chiến lược được HĐQT phê duyệt đúng hạn</t>
  </si>
  <si>
    <t xml:space="preserve">Năm/Quý</t>
  </si>
  <si>
    <t xml:space="preserve">Cấp 4</t>
  </si>
  <si>
    <t xml:space="preserve">HĐQT, CCO, COO</t>
  </si>
  <si>
    <t xml:space="preserve">1.2</t>
  </si>
  <si>
    <t xml:space="preserve">Theo dõi P&amp;L toàn công ty hàng tháng: GMV, doanh thu thuần, GP%, chi phí vận hành, EBITDA. Ra quyết định phân bổ nguồn lực giữa các mảng dựa trên hiệu suất thực tế.</t>
  </si>
  <si>
    <t xml:space="preserve">• EBITDA ≥ mục tiêu HĐQT
• GP% toàn danh mục ≥ ngưỡng
• Báo cáo tài chính đúng hạn ngày 10 hàng tháng</t>
  </si>
  <si>
    <t xml:space="preserve">Tháng</t>
  </si>
  <si>
    <t xml:space="preserve">GĐ Tài chính, CCO</t>
  </si>
  <si>
    <t xml:space="preserve">1.3</t>
  </si>
  <si>
    <t xml:space="preserve">Xác định và mở rộng kênh bán hàng mới: Website D2C, xuất khẩu TMĐT xuyên biên giới (Shopee Xuyên biên giới, Lazada cross-border), phát triển kênh B2B song song TMĐT.</t>
  </si>
  <si>
    <t xml:space="preserve">• Ít nhất 1 kênh mới được thử nghiệm và đánh giá mỗi năm
• Doanh thu kênh mới ≥ 10% tổng GMV trong năm 2</t>
  </si>
  <si>
    <t xml:space="preserve">Năm</t>
  </si>
  <si>
    <t xml:space="preserve">CCO, COO</t>
  </si>
  <si>
    <t xml:space="preserve">1.4</t>
  </si>
  <si>
    <t xml:space="preserve">Phân tích thị trường và đối thủ cạnh tranh ngành vali/hành lý TMĐT Việt Nam. Nhận diện cơ hội và rủi ro. Điều chỉnh chiến lược kịp thời khi thị trường thay đổi.</t>
  </si>
  <si>
    <t xml:space="preserve">• Báo cáo competitor analysis ≥ 2 lần/năm
• Không bị đối thủ chiếm ranking trong ≥ 3 từ khóa chủ lực
• Phát hiện rủi ro thị trường trước khi ảnh hưởng GMV</t>
  </si>
  <si>
    <t xml:space="preserve">Quý</t>
  </si>
  <si>
    <t xml:space="preserve">CCO, TP MKT</t>
  </si>
  <si>
    <t xml:space="preserve">NHÓM 2 – XÂY DỰNG &amp; PHÁT TRIỂN TỔ CHỨC</t>
  </si>
  <si>
    <t xml:space="preserve">2.1</t>
  </si>
  <si>
    <t xml:space="preserve">Xây dựng cơ cấu tổ chức phù hợp với từng giai đoạn tăng trưởng của Vimove. Tuyển dụng và giữ chân lãnh đạo cấp C-Suite và Trưởng phòng. Xây dựng văn hóa công ty TMĐT: tốc độ, data, ownership.</t>
  </si>
  <si>
    <t xml:space="preserve">• C-Suite đủ quân và ổn định
• Turnover toàn công ty ≤ 20%/năm
• eNPS ≥ 30 (đo 2 lần/năm)</t>
  </si>
  <si>
    <t xml:space="preserve">Liên tục</t>
  </si>
  <si>
    <t xml:space="preserve">HĐQT, TP HR</t>
  </si>
  <si>
    <t xml:space="preserve">2.2</t>
  </si>
  <si>
    <t xml:space="preserve">Thiết lập hệ thống KPI cascade từ CEO → GĐ → TP → nhân viên. Đảm bảo mọi người hiểu mình tạo ra GMV thế nào. Review OKR toàn công ty hàng quý. Coaching lãnh đạo cấp dưới trực tiếp.</t>
  </si>
  <si>
    <t xml:space="preserve">• 100% lãnh đạo có OKR được phê duyệt và đang được đo
• Review OKR quý đúng hạn
• Ít nhất 1 buổi 1-1 coaching/tháng với mỗi GĐ</t>
  </si>
  <si>
    <t xml:space="preserve">Quý/Tháng</t>
  </si>
  <si>
    <t xml:space="preserve">Toàn bộ lãnh đạo</t>
  </si>
  <si>
    <t xml:space="preserve">2.3</t>
  </si>
  <si>
    <t xml:space="preserve">Xây dựng và duy trì văn hóa công ty TMĐT đặc thù: fast-fail, test &amp; learn, data-driven, không đổ lỗi, ownership GMV. Là người làm gương về các giá trị này hàng ngày.</t>
  </si>
  <si>
    <t xml:space="preserve">• eNPS ≥ 30
• Ít nhất 2 sự kiện văn hóa/năm
• CEO visible với toàn đội ≥ 1 lần/tháng (all-hands)</t>
  </si>
  <si>
    <t xml:space="preserve">TP HR, toàn công ty</t>
  </si>
  <si>
    <t xml:space="preserve">NHÓM 3 – VẬN HÀNH &amp; RA QUYẾT ĐỊNH</t>
  </si>
  <si>
    <t xml:space="preserve">3.1</t>
  </si>
  <si>
    <t xml:space="preserve">Chủ trì họp BGĐ hàng tuần (thứ 2): review GMV tuần, ROAS, issues, quyết định phân bổ nguồn lực. Đảm bảo quyết định được thực thi trong 24-48h. Không để bottleneck ở CEO.</t>
  </si>
  <si>
    <t xml:space="preserve">• Họp BGĐ đúng lịch mỗi tuần
• Quyết định được ghi nhận và follow-up trong ≤ 48h
• Không có issue nào tồn đọng &gt; 1 tuần chưa có quyết định</t>
  </si>
  <si>
    <t xml:space="preserve">Tuần</t>
  </si>
  <si>
    <t xml:space="preserve">CCO, COO, GĐ hỗ trợ</t>
  </si>
  <si>
    <t xml:space="preserve">3.2</t>
  </si>
  <si>
    <t xml:space="preserve">Phê duyệt ngân sách marketing hàng tháng và ngân sách đầu tư lớn (thiết bị kho, hệ thống ERP, thuê văn phòng). Kiểm soát chi phí tổng thể không vượt trần ngân sách năm.</t>
  </si>
  <si>
    <t xml:space="preserve">• Chi phí thực tế vs ngân sách lệch ≤ 10%
• Phê duyệt ngân sách trong ≤ 24h sau khi đủ thông tin
• EBITDA không âm qua 2 tháng liên tiếp</t>
  </si>
  <si>
    <t xml:space="preserve">GĐ Tài chính, các GĐ</t>
  </si>
  <si>
    <t xml:space="preserve">3.3</t>
  </si>
  <si>
    <t xml:space="preserve">Xử lý khủng hoảng: vi phạm chính sách sàn nghiêm trọng, khiếu nại hàng loạt, sự cố truyền thông. Là người phát ngôn chính thức với sàn và truyền thông khi cần.</t>
  </si>
  <si>
    <t xml:space="preserve">• Phản hồi khủng hoảng trong ≤ 4h kể từ khi phát hiện
• Không để sự cố leo thang mà không có CEO statement trong 24h
• Gian hàng không bị khóa/cấm quá 48h</t>
  </si>
  <si>
    <t xml:space="preserve">Khi phát sinh</t>
  </si>
  <si>
    <t xml:space="preserve">Toàn bộ BGĐ, PR</t>
  </si>
  <si>
    <t xml:space="preserve">NHÓM 4 – QUAN HỆ ĐỐI TÁC &amp; ĐẠI DIỆN THƯƠNG HIỆU</t>
  </si>
  <si>
    <t xml:space="preserve">4.1</t>
  </si>
  <si>
    <t xml:space="preserve">Xây dựng và duy trì quan hệ chiến lược với các sàn TMĐT (Shopee, TikTok Shop, Lazada): đàm phán điều kiện ưu đãi, tham gia campaign ưu tiên, nhận hỗ trợ sàn. Là người ký hợp đồng partnership cấp cao.</t>
  </si>
  <si>
    <t xml:space="preserve">• Ít nhất 1 buổi làm việc với Account Manager cấp cao sàn mỗi quý
• Đàm phán được ít nhất 1 ưu đãi đặc biệt từ sàn mỗi năm</t>
  </si>
  <si>
    <t xml:space="preserve">CCO, TP Sàn</t>
  </si>
  <si>
    <t xml:space="preserve">4.2</t>
  </si>
  <si>
    <t xml:space="preserve">Xây dựng quan hệ với nhà cung cấp chiến lược: đàm phán điều kiện exclusivity, ưu tiên hàng mới, giá tốt. Đại diện Vimove tại các sự kiện ngành (triển lãm hàng tiêu dùng, hội nghị TMĐT).</t>
  </si>
  <si>
    <t xml:space="preserve">• Ít nhất 2 nhà cung cấp chiến lược có MOU/thỏa thuận hợp tác
• CEO tham dự ≥ 2 sự kiện ngành/năm
• Đàm phán được điều kiện thanh toán tốt hơn ≥ 1 NCC/năm</t>
  </si>
  <si>
    <t xml:space="preserve">COO, TP Mua hàng</t>
  </si>
  <si>
    <t xml:space="preserve">4.3</t>
  </si>
  <si>
    <t xml:space="preserve">Xây dựng thương hiệu cá nhân CEO và thương hiệu Vimove trên mạng xã hội. Là kênh truyền thông về văn hóa, tầm nhìn, sản phẩm Vimove. Hỗ trợ tuyển dụng thông qua employer branding.</t>
  </si>
  <si>
    <t xml:space="preserve">• CEO có LinkedIn/TikTok active với ≥ 2 post/tháng về Vimove
• Có ≥ 1 media coverage chính thống về Vimove/năm
• Employer branding giúp time-to-fill giảm</t>
  </si>
  <si>
    <t xml:space="preserve">TP HR, TP MKT</t>
  </si>
  <si>
    <t xml:space="preserve">NHÓM 5 – KPI &amp; BÁOCÁO HĐQT</t>
  </si>
  <si>
    <t xml:space="preserve">5.1</t>
  </si>
  <si>
    <t xml:space="preserve">Báo cáo HĐQT hàng quý: GMV, tài chính, chiến lược, rủi ro, nhân sự cấp cao. Đề xuất điều chỉnh chiến lược nếu cần. Là người chịu trách nhiệm giải trình về mọi chỉ số kinh doanh.</t>
  </si>
  <si>
    <t xml:space="preserve">• Báo cáo HĐQT đúng hạn (≤ 15 ngày sau khi kết thúc quý)
• 100% câu hỏi HĐQT được trả lời đầy đủ
• Không có surprises cho HĐQT</t>
  </si>
  <si>
    <t xml:space="preserve">HĐQT, GĐ Tài chính</t>
  </si>
  <si>
    <t xml:space="preserve">5.2</t>
  </si>
  <si>
    <t xml:space="preserve">Theo dõi health score toàn công ty theo tuần: GMV vs KH, ROAS, turnover, eNPS, stock-out rate. Phát hiện vấn đề sớm và quyết định nhanh. Không chờ báo cáo tháng mới biết.</t>
  </si>
  <si>
    <t xml:space="preserve">• Dashboard CEO cập nhật thứ 2 hàng tuần
• Phát hiện vấn đề GMV lệch &gt; 20% trong ≤ 48h
• Không có KPI nào miss quá 2 tháng liên tiếp không có hành động</t>
  </si>
  <si>
    <t xml:space="preserve">Toàn bộ GĐ</t>
  </si>
  <si>
    <t xml:space="preserve">NHÓM 6 – YÊU CẦU &amp; TIÊU CHUẨN TỐI THIỂU</t>
  </si>
  <si>
    <t xml:space="preserve">6.1</t>
  </si>
  <si>
    <t xml:space="preserve">Kinh nghiệm điều hành thực tế trong môi trường TMĐT: từng giữ vị trí GĐ KD/COO/CEO tại công ty TMĐT, hoặc từng chịu trách nhiệm GMV ≥ 20 tỷ/tháng.</t>
  </si>
  <si>
    <t xml:space="preserve">• ≥ 5 năm kinh nghiệm quản lý cấp cao TMĐT
• Đã từng chịu trách nhiệm P&amp;L thực sự
• Hiểu sâu ít nhất 1 sàn TMĐT lớn (Shopee/TikTok/Lazada)</t>
  </si>
  <si>
    <t xml:space="preserve">Điều kiện</t>
  </si>
  <si>
    <t xml:space="preserve">Bắt buộc</t>
  </si>
  <si>
    <t xml:space="preserve">HR tuyển dụng</t>
  </si>
  <si>
    <t xml:space="preserve">6.2</t>
  </si>
  <si>
    <t xml:space="preserve">Tư duy lãnh đạo phù hợp với startup TMĐT: không ngại làm tay, chấp nhận uncertainty, ra quyết định nhanh với thông tin chưa đầy đủ, xây dựng đội từ đầu.</t>
  </si>
  <si>
    <t xml:space="preserve">• Có kinh nghiệm xây dựng đội ngũ từ 0
• Đã từng vận hành công ty &lt; 50 người
• Không yêu cầu bộ máy hỗ trợ quá lớn trong năm đầu</t>
  </si>
  <si>
    <t xml:space="preserve">▌ KPI ĐÁNH GIÁ HIỆU SUẤT CEO – HÀNG QUÝ / NĂM</t>
  </si>
  <si>
    <t xml:space="preserve">KPI CHIẾN LƯỢC</t>
  </si>
  <si>
    <t xml:space="preserve">TRỌNG SỐ</t>
  </si>
  <si>
    <t xml:space="preserve">MỨC ĐẠT – CẤP 3 ✅</t>
  </si>
  <si>
    <t xml:space="preserve">MỨC XUẤT SẮC – CẤP 4 ⭐</t>
  </si>
  <si>
    <t xml:space="preserve">NGUỒN DỮ LIỆU</t>
  </si>
  <si>
    <t xml:space="preserve">1</t>
  </si>
  <si>
    <t xml:space="preserve">GMV toàn công ty vs KH năm</t>
  </si>
  <si>
    <t xml:space="preserve">25%</t>
  </si>
  <si>
    <t xml:space="preserve">Đạt 95–100% KH GMV năm</t>
  </si>
  <si>
    <t xml:space="preserve">Vượt 115% KH + tăng trưởng &gt; 30% YoY</t>
  </si>
  <si>
    <t xml:space="preserve">Shopee/TikTok/Lazada Seller Center</t>
  </si>
  <si>
    <t xml:space="preserve">2</t>
  </si>
  <si>
    <t xml:space="preserve">EBITDA / Lợi nhuận gộp</t>
  </si>
  <si>
    <t xml:space="preserve">20%</t>
  </si>
  <si>
    <t xml:space="preserve">EBITDA dương, GP% ≥ mục tiêu HĐQT</t>
  </si>
  <si>
    <t xml:space="preserve">GP% tăng MoM + EBITDA vượt 110% KH</t>
  </si>
  <si>
    <t xml:space="preserve">Báo cáo tài chính nội bộ</t>
  </si>
  <si>
    <t xml:space="preserve">3</t>
  </si>
  <si>
    <t xml:space="preserve">Xây dựng tổ chức &amp; Turnover</t>
  </si>
  <si>
    <t xml:space="preserve">Turnover ≤ 20%, eNPS ≥ 30, C-Suite đủ quân</t>
  </si>
  <si>
    <t xml:space="preserve">Turnover &lt; 10%, eNPS ≥ 50, succession plan cho mọi vị trí key</t>
  </si>
  <si>
    <t xml:space="preserve">HR report, eNPS survey</t>
  </si>
  <si>
    <t xml:space="preserve">4</t>
  </si>
  <si>
    <t xml:space="preserve">Chiến lược &amp; Thị trường</t>
  </si>
  <si>
    <t xml:space="preserve">15%</t>
  </si>
  <si>
    <t xml:space="preserve">KH chiến lược được phê duyệt và đang triển khai</t>
  </si>
  <si>
    <t xml:space="preserve">Mở được kênh mới, vào được segment mới</t>
  </si>
  <si>
    <t xml:space="preserve">Báo cáo BGĐ/HĐQT</t>
  </si>
  <si>
    <t xml:space="preserve">5</t>
  </si>
  <si>
    <t xml:space="preserve">Quan hệ đối tác sàn &amp; NCC</t>
  </si>
  <si>
    <t xml:space="preserve">10%</t>
  </si>
  <si>
    <t xml:space="preserve">Có quan hệ chính thức với AM sàn cấp cao, ≥ 1 NCC MOU</t>
  </si>
  <si>
    <t xml:space="preserve">Vimove được sàn ưu tiên campaign, NCC cho điều kiện tốt nhất</t>
  </si>
  <si>
    <t xml:space="preserve">Email/MOU/Contract</t>
  </si>
  <si>
    <t xml:space="preserve">6</t>
  </si>
  <si>
    <t xml:space="preserve">Văn hóa &amp; Lãnh đạo</t>
  </si>
  <si>
    <t xml:space="preserve">GĐ cấp dưới tự vận hành được khi CEO vắng 2 tuần</t>
  </si>
  <si>
    <t xml:space="preserve">Mỗi GĐ có succession plan, CEO không còn là bottleneck</t>
  </si>
  <si>
    <t xml:space="preserve">360 feedback, eNPS</t>
  </si>
  <si>
    <t xml:space="preserve">KHUNG NĂNG LỰC – TỔNG GIÁM ĐỐC / CEO</t>
  </si>
  <si>
    <t xml:space="preserve">Vimove TMĐT | Trọng số: N4 Lãnh đạo (30%) · N2 Data (20%) · N5 Giao tiếp (15%) · N1 TMĐT (15%) · N6 Tư duy (10%) · N3 Tốc độ (10%)</t>
  </si>
  <si>
    <t xml:space="preserve">▌ BẢNG KHUNG NĂNG LỰC CHI TIẾT 4 CẤP</t>
  </si>
  <si>
    <t xml:space="preserve">TIÊU CHÍ NĂNG LỰC</t>
  </si>
  <si>
    <t xml:space="preserve">CẤP 1 – Cần phát triển ❌</t>
  </si>
  <si>
    <t xml:space="preserve">CẤP 2 – Đang phát triển ⚠️</t>
  </si>
  <si>
    <t xml:space="preserve">CẤP 3 – Đạt yêu cầu ✅</t>
  </si>
  <si>
    <t xml:space="preserve">CẤP 4 – Xuất sắc ⭐</t>
  </si>
  <si>
    <t xml:space="preserve">N4 – LÃNH ĐẠO &amp; PHÁT TRIỂN TỔ CHỨC (Trọng số: 30%) — Quan trọng nhất với CEO</t>
  </si>
  <si>
    <t xml:space="preserve">N4.1</t>
  </si>
  <si>
    <t xml:space="preserve">Tầm nhìn chiến lược &amp; Định hướng tổ chức</t>
  </si>
  <si>
    <t xml:space="preserve">Không có chiến lược rõ ràng. Phản ứng với sự kiện thay vì dẫn dắt. Đội ngũ không biết đi về đâu.</t>
  </si>
  <si>
    <t xml:space="preserve">Có chiến lược nhưng không cascade được xuống tổ chức. GĐ cấp dưới mơ hồ về ưu tiên.</t>
  </si>
  <si>
    <t xml:space="preserve">Chiến lược rõ, được phê duyệt HĐQT, cascade đến từng phòng với OKR cụ thể. Toàn đội hiểu mình tạo ra GMV thế nào.</t>
  </si>
  <si>
    <t xml:space="preserve">Chiến lược 3 năm được HĐQT tin tưởng. Là người dẫn dắt ngành. Đội ngũ tự nguyện theo vì tin vào tầm nhìn CEO.</t>
  </si>
  <si>
    <t xml:space="preserve">N4.2</t>
  </si>
  <si>
    <t xml:space="preserve">Xây dựng &amp; Phát triển đội ngũ cấp cao</t>
  </si>
  <si>
    <t xml:space="preserve">Không tuyển được người tốt hơn mình. Team C-Suite thiếu hụt liên tục. Hay làm thay GĐ cấp dưới.</t>
  </si>
  <si>
    <t xml:space="preserve">Tuyển được nhưng hay mất người giỏi sau 6-12 tháng. Chưa có succession plan. Coaching chưa có hệ thống.</t>
  </si>
  <si>
    <t xml:space="preserve">C-Suite đủ quân, ổn định. Mỗi GĐ có IDP và đang phát triển rõ rệt. CEO vắng 2 tuần công ty vẫn chạy tốt.</t>
  </si>
  <si>
    <t xml:space="preserve">Xây được bench strength — mỗi vị trí key có 2 người kế thừa sẵn sàng. Vimove là nơi người giỏi muốn đến làm.</t>
  </si>
  <si>
    <t xml:space="preserve">N4.3</t>
  </si>
  <si>
    <t xml:space="preserve">Ra quyết định trong môi trường bất định</t>
  </si>
  <si>
    <t xml:space="preserve">Chờ đủ thông tin mới quyết định. Hay hỏi ý kiến quá nhiều người rồi vẫn không quyết. Đội ngũ chờ CEO và chậm.</t>
  </si>
  <si>
    <t xml:space="preserve">Quyết định được nhưng thường chậm 1-2 tuần. Hay thay đổi quyết định sau khi nhận phản hồi — không nhất quán.</t>
  </si>
  <si>
    <t xml:space="preserve">Ra quyết định trong 24-48h với thông tin 70%. Nhất quán. Sẵn sàng điều chỉnh nhanh khi có data mới — không phải vì áp lực.</t>
  </si>
  <si>
    <t xml:space="preserve">Quyết định chiến lược lớn được HĐQT và đội ngũ tin tưởng. Có framework ra quyết định rõ. Không bao giờ là bottleneck.</t>
  </si>
  <si>
    <t xml:space="preserve">N4.4</t>
  </si>
  <si>
    <t xml:space="preserve">Coaching &amp; Phát triển lãnh đạo cấp dưới</t>
  </si>
  <si>
    <t xml:space="preserve">Không có thời gian coaching. Hay giải quyết vấn đề thay vì hỏi để GĐ tự tìm ra. Đội ngũ phụ thuộc CEO.</t>
  </si>
  <si>
    <t xml:space="preserve">Có 1-1 nhưng không có cấu trúc. Chủ yếu nghe báo cáo chứ không coaching thực sự. GĐ không lớn lên rõ rệt.</t>
  </si>
  <si>
    <t xml:space="preserve">1-1 monthly có cấu trúc (review KPI + IDP + tâm lý). GĐ cảm thấy được hỗ trợ. Có ít nhất 1 GĐ được thăng tiến/năm.</t>
  </si>
  <si>
    <t xml:space="preserve">CEO là coach thực thụ — GĐ cấp dưới coi 1-1 với CEO là nguồn phát triển quan trọng nhất. Nhiều GĐ có thể trở thành CEO.</t>
  </si>
  <si>
    <t xml:space="preserve">N2 – DATA &amp; TƯ DUY KINH DOANH TMĐT (Trọng số: 20%)</t>
  </si>
  <si>
    <t xml:space="preserve">N2.1</t>
  </si>
  <si>
    <t xml:space="preserve">Đọc và ra quyết định từ P&amp;L TMĐT</t>
  </si>
  <si>
    <t xml:space="preserve">Không đọc được P&amp;L. Ra quyết định cảm tính. Không biết channel nào lời/lỗ.</t>
  </si>
  <si>
    <t xml:space="preserve">Đọc được P&amp;L cơ bản nhưng không phân tích được nguyên nhân gốc rễ. Hay tin vào số GĐ báo cáo mà không verify.</t>
  </si>
  <si>
    <t xml:space="preserve">Đọc P&amp;L toàn công ty, phân tích được GMV theo sàn/SKU/kênh, GP%, chi phí cố định/biến động. Ra action plan từ số.</t>
  </si>
  <si>
    <t xml:space="preserve">Xây model tài chính tự động. Dự báo cash flow 3-6 tháng chính xác ≥ 80%. HĐQT tin tưởng số CEO báo cáo.</t>
  </si>
  <si>
    <t xml:space="preserve">N2.2</t>
  </si>
  <si>
    <t xml:space="preserve">Tư duy TMĐT &amp; Hiểu thuật toán sàn</t>
  </si>
  <si>
    <t xml:space="preserve">Không hiểu cách sàn vận hành. Ra chiến lược không tương thích với thuật toán sàn. Đội chạy theo mà không hiểu vì sao.</t>
  </si>
  <si>
    <t xml:space="preserve">Hiểu bề mặt — biết ROAS, GMV, conversion là gì nhưng không hiểu sâu. Không nhận ra khi GĐ báo cáo số thiếu context.</t>
  </si>
  <si>
    <t xml:space="preserve">Hiểu đủ để hỏi đúng câu hỏi: ROAS theo kênh/SKU/creative, ranking từ khóa, conversion funnel. Không bị GĐ 'dắt mũi' bằng số.</t>
  </si>
  <si>
    <t xml:space="preserve">Biết đủ về thuật toán sàn để đặt câu hỏi chiến lược sắc bén. Đề xuất chiến lược platform mà đội phải nghiên cứu thêm.</t>
  </si>
  <si>
    <t xml:space="preserve">N5 – PHỐI HỢP &amp; GIAO TIẾP (Trọng số: 15%)</t>
  </si>
  <si>
    <t xml:space="preserve">N5.1</t>
  </si>
  <si>
    <t xml:space="preserve">Giao tiếp với HĐQT &amp; Nhà đầu tư</t>
  </si>
  <si>
    <t xml:space="preserve">Báo cáo HĐQT dài dòng, không có insight, toàn số liệu không có ý kiến. HĐQT hay phải hỏi lại nhiều.</t>
  </si>
  <si>
    <t xml:space="preserve">Báo cáo đủ số nhưng thiếu narrative — không kể được câu chuyện kinh doanh. HĐQT không tự tin vào con số.</t>
  </si>
  <si>
    <t xml:space="preserve">Báo cáo ngắn gọn: số thực tế vs KH, nguyên nhân lệch, action plan, rủi ro và cơ hội. HĐQT nhận báo cáo không cần hỏi thêm.</t>
  </si>
  <si>
    <t xml:space="preserve">HĐQT coi CEO là đối tác chiến lược thực sự. Trình bày hấp dẫn, thuyết phục được HĐQT đồng ý phân bổ nguồn lực thêm.</t>
  </si>
  <si>
    <t xml:space="preserve">N5.2</t>
  </si>
  <si>
    <t xml:space="preserve">Truyền thông nội bộ &amp; Tạo alignment</t>
  </si>
  <si>
    <t xml:space="preserve">Đội ngũ không biết chiến lược công ty. Mỗi phòng làm một hướng. CEO announce mà không ai hiểu.</t>
  </si>
  <si>
    <t xml:space="preserve">Có all-hands nhưng thông tin một chiều. Không có cơ chế feedback từ nhân viên lên CEO. Tin đồn nhiều hơn thông tin chính thức.</t>
  </si>
  <si>
    <t xml:space="preserve">All-hands hàng tháng có Q&amp;A thực sự. Chiến lược cascade rõ. Nhân viên cảm thấy được thông tin đầy đủ và tin tưởng.</t>
  </si>
  <si>
    <t xml:space="preserve">CEO là người kết nối văn hóa. Nhân viên cảm thấy 'được biết' và 'được nghe'. eNPS tăng sau mỗi all-hands.</t>
  </si>
  <si>
    <t xml:space="preserve">N1 – CHUYÊN MÔN TMĐT (Trọng số: 15%) — CEO cần hiểu, không cần thao tác trực tiếp</t>
  </si>
  <si>
    <t xml:space="preserve">N1.1</t>
  </si>
  <si>
    <t xml:space="preserve">Hiểu hệ sinh thái TMĐT vali Việt Nam</t>
  </si>
  <si>
    <t xml:space="preserve">Không biết sàn nào phù hợp để ưu tiên. Không hiểu sự khác biệt Shopee/TikTok/Lazada. Ra chiến lược sai kênh.</t>
  </si>
  <si>
    <t xml:space="preserve">Hiểu bề mặt — biết 3 sàn chính nhưng không hiểu dynamics đặc thù ngành vali. Không đánh giá được strategy của GĐ KD.</t>
  </si>
  <si>
    <t xml:space="preserve">Hiểu đủ để ra chiến lược đúng hướng: sàn nào ưu tiên theo mùa, kênh nào phù hợp SKU nào, khi nào cần tăng ads.</t>
  </si>
  <si>
    <t xml:space="preserve">Có góc nhìn macro về tương lai TMĐT vali VN — live commerce, social commerce, D2C — và đề xuất hướng đi trước thị trường.</t>
  </si>
  <si>
    <t xml:space="preserve">N3 – TỐC ĐỘ &amp; EXECUTION (Trọng số: 10%)</t>
  </si>
  <si>
    <t xml:space="preserve">N3.1</t>
  </si>
  <si>
    <t xml:space="preserve">Tốc độ ra quyết định và triển khai</t>
  </si>
  <si>
    <t xml:space="preserve">Bottleneck quyết định. Mọi việc phải chờ CEO. Hay yêu cầu thêm data trước khi quyết định dù data đã đủ.</t>
  </si>
  <si>
    <t xml:space="preserve">Quyết định được nhưng chậm. Campaign sàn bỏ lỡ vì approval process mất quá lâu. Đội nản.</t>
  </si>
  <si>
    <t xml:space="preserve">Delegate đúng cấp — CEO chỉ quyết định những gì cần CEO. Còn lại ủy quyền và trust. Phản ứng nhanh khi có crisis.</t>
  </si>
  <si>
    <t xml:space="preserve">Đã xây hệ thống authorization levels rõ ràng. 80% quyết định hàng ngày không cần CEO. CEO chỉ làm việc chiến lược.</t>
  </si>
  <si>
    <t xml:space="preserve">N6 – TƯ DUY &amp; THÁI ĐỘ (Trọng số: 10%)</t>
  </si>
  <si>
    <t xml:space="preserve">N6.1</t>
  </si>
  <si>
    <t xml:space="preserve">Ownership &amp; Accountability ở cấp CEO</t>
  </si>
  <si>
    <t xml:space="preserve">Đổ lỗi thị trường, đối thủ, sàn thay đổi thuật toán khi GMV miss. Không nhận trách nhiệm trước HĐQT.</t>
  </si>
  <si>
    <t xml:space="preserve">Nhận trách nhiệm bề ngoài nhưng bên trong vẫn blame team. Giải thích quá nhiều thay vì hành động.</t>
  </si>
  <si>
    <t xml:space="preserve">"Own the number" — trước HĐQT nhận trách nhiệm, với team phân tích nguyên nhân khách quan và ra plan. Không bao giờ đổ lỗi công khai.</t>
  </si>
  <si>
    <t xml:space="preserve">CEO là người cân bằng accountability cao nhất: nhận trách nhiệm với HĐQT, bảo vệ team khi cần, nhưng không dung thứ thiếu ownership từ GĐ.</t>
  </si>
  <si>
    <t xml:space="preserve">N6.2</t>
  </si>
  <si>
    <t xml:space="preserve">Growth mindset &amp; Học từ thất bại</t>
  </si>
  <si>
    <t xml:space="preserve">Sợ thất bại. Không thử chiến lược mới. Văn hóa công ty né tránh rủi ro — cơ hội bị bỏ lỡ vì không ai dám thử.</t>
  </si>
  <si>
    <t xml:space="preserve">Nói về growth mindset nhưng phản ứng tiêu cực khi đội thất bại. Team học được: 'đừng mang tin xấu lên CEO'.</t>
  </si>
  <si>
    <t xml:space="preserve">Công khai chia sẻ bài học từ thất bại của mình. Team cảm thấy an toàn để thử và báo cáo thất bại. Post-mortem có văn hóa.</t>
  </si>
  <si>
    <t xml:space="preserve">Thất bại được xem là dữ liệu — CEO setup môi trường nơi 'fail fast, learn faster' là chuẩn mực. Vimove có knowledge base các bài học.</t>
  </si>
  <si>
    <t xml:space="preserve">▌ BẢNG ĐIỂM TRỌNG SỐ NĂNG LỰC CEO</t>
  </si>
  <si>
    <t xml:space="preserve">NHÓM NL</t>
  </si>
  <si>
    <t xml:space="preserve">TRỌNG SỐ (%)</t>
  </si>
  <si>
    <t xml:space="preserve">MỨC ĐẠT TỐI THIỂU</t>
  </si>
  <si>
    <t xml:space="preserve">GHI CHÚ</t>
  </si>
  <si>
    <t xml:space="preserve">N4 – Lãnh đạo &amp; Phát triển</t>
  </si>
  <si>
    <t xml:space="preserve">30%</t>
  </si>
  <si>
    <t xml:space="preserve">Cấp 3 tất cả tiêu chí N4</t>
  </si>
  <si>
    <t xml:space="preserve">Đây là nhóm quyết định CEO thành/bại</t>
  </si>
  <si>
    <t xml:space="preserve">N2 – Data &amp; Kinh doanh TMĐT</t>
  </si>
  <si>
    <t xml:space="preserve">Cấp 3 tất cả tiêu chí N2</t>
  </si>
  <si>
    <t xml:space="preserve">Phải hiểu đủ để giám sát và ra chiến lược</t>
  </si>
  <si>
    <t xml:space="preserve">N5 – Giao tiếp &amp; Phối hợp</t>
  </si>
  <si>
    <t xml:space="preserve">Cấp 3</t>
  </si>
  <si>
    <t xml:space="preserve">Đặc biệt quan trọng với HĐQT</t>
  </si>
  <si>
    <t xml:space="preserve">N1 – Chuyên môn TMĐT</t>
  </si>
  <si>
    <t xml:space="preserve">Cấp 2 tối thiểu, Cấp 3 lý tưởng</t>
  </si>
  <si>
    <t xml:space="preserve">CEO không cần thao tác nhưng phải hiểu</t>
  </si>
  <si>
    <t xml:space="preserve">N3 – Tốc độ &amp; Execution</t>
  </si>
  <si>
    <t xml:space="preserve">Delegation là năng lực cốt lõi ở cấp CEO</t>
  </si>
  <si>
    <t xml:space="preserve">N6 – Tư duy &amp; Thái độ</t>
  </si>
  <si>
    <t xml:space="preserve">Văn hóa CEO = văn hóa công ty</t>
  </si>
  <si>
    <t xml:space="preserve">TỔNG</t>
  </si>
  <si>
    <t xml:space="preserve">100%</t>
  </si>
  <si>
    <t xml:space="preserve">Điểm tổng trọng số ≥ 2.7/4.0</t>
  </si>
  <si>
    <t xml:space="preserve">Điều kiện loại: bất kỳ tiêu chí N4 &lt; Cấp 2</t>
  </si>
  <si>
    <t xml:space="preserve">BỘ CÂU HỎI PHỎNG VẤN STAR – CEO VIMOVE</t>
  </si>
  <si>
    <t xml:space="preserve">Vimove TMĐT | Phỏng vấn bởi: HĐQT / Chủ tịch | Cấp độ: C-Suite Strategic Interview</t>
  </si>
  <si>
    <t xml:space="preserve">N4 – LÃNH ĐẠO &amp; XÂY DỰNG TỔ CHỨC (4 câu)</t>
  </si>
  <si>
    <t xml:space="preserve">CÂU HỎI PHỎNG VẤN STAR</t>
  </si>
  <si>
    <t xml:space="preserve">HƯỚNG DẪN ĐÁNH GIÁ &amp; CỜ ĐỎ</t>
  </si>
  <si>
    <t xml:space="preserve">ĐIỂM (1-4)</t>
  </si>
  <si>
    <t xml:space="preserve">PV1</t>
  </si>
  <si>
    <t xml:space="preserve">[CHIẾN LƯỢC] Hãy mô tả chiến lược TMĐT bạn đã xây dựng và thực thi thành công nhất. Bạn đặt ra chiến lược thế nào, ai là người bạn cần thuyết phục, bạn cascade xuống tổ chức ra sao, và kết quả GMV/thị phần sau 1 năm là bao nhiêu?</t>
  </si>
  <si>
    <t xml:space="preserve">🔍 Tìm: Tư duy chiến lược có chiều sâu, khả năng thuyết phục và alignment, con số kết quả cụ thể, không phải chỉ lý thuyết
🚩 Cờ đỏ: Chiến lược mơ hồ không đo được, không có số kết quả, chỉ mô tả việc người khác làm</t>
  </si>
  <si>
    <t xml:space="preserve">1–4</t>
  </si>
  <si>
    <t xml:space="preserve">PV2</t>
  </si>
  <si>
    <t xml:space="preserve">[ĐỘI NGŨ] Kể về lần bạn phải tuyển hoặc thay thế một thành viên C-Suite. Bạn nhận ra vấn đề thế nào, xử lý thế nào để giảm thiểu ảnh hưởng tổ chức, và tìm/phát triển người thay thế ra sao?</t>
  </si>
  <si>
    <t xml:space="preserve">🔍 Tìm: Can đảm ra quyết định khó, quy trình rõ ràng, quan tâm đến sức khỏe tổ chức, không để cảm xúc cản trở quyết định
🚩 Cờ đỏ: Chịu đựng người không phù hợp quá lâu, quyết định đột ngột không có plan, để lại tổ chức hỗn loạn</t>
  </si>
  <si>
    <t xml:space="preserve">PV3</t>
  </si>
  <si>
    <t xml:space="preserve">[RA QUYẾT ĐỊNH] Kể về quyết định kinh doanh lớn nhất bạn đã sai. Bạn đã quyết định gì, tại sao bạn tin là đúng lúc đó, kết quả thực tế ra sao, và bạn đã làm gì sau khi nhận ra sai?</t>
  </si>
  <si>
    <t xml:space="preserve">🔍 Tìm: Tự nhận thức cao, không đổ lỗi, học được gì cụ thể, điều chỉnh nhanh
🚩 Cờ đỏ: Không nhớ lần nào sai (thiếu tự nhận thức), đổ lỗi hoàn cảnh, bài học quá chung chung</t>
  </si>
  <si>
    <t xml:space="preserve">PV4</t>
  </si>
  <si>
    <t xml:space="preserve">[COACHING] Kể về người bạn đã phát triển thành công từ Trưởng phòng lên GĐ/C-Suite. Bạn nhìn thấy tiềm năng thế nào, bạn đầu tư vào họ thế nào, và họ đang ở đâu bây giờ?</t>
  </si>
  <si>
    <t xml:space="preserve">🔍 Tìm: Niềm tin thực sự vào phát triển người, phương pháp coaching có hệ thống, kết quả cụ thể
🚩 Cờ đỏ: Chỉ dùng người giỏi có sẵn, không đầu tư phát triển người, hay 'không tìm được người phù hợp'</t>
  </si>
  <si>
    <t xml:space="preserve">N2 – DATA &amp; KINH DOANH TMĐT (3 câu)</t>
  </si>
  <si>
    <t xml:space="preserve">PV5</t>
  </si>
  <si>
    <t xml:space="preserve">[P&amp;L] Mô tả P&amp;L TMĐT của công ty bạn đã điều hành gần nhất: GMV, doanh thu thuần, GP%, chi phí marketing/vận hành, EBITDA. Quyết định phân bổ nguồn lực nào bạn đã làm dựa trên P&amp;L đó mà tạo ra tác động lớn nhất?</t>
  </si>
  <si>
    <t xml:space="preserve">🔍 Tìm: Nắm P&amp;L thực tế có con số, hiểu cơ cấu chi phí TMĐT, quyết định dựa trên số chứ không phải cảm tính
🚩 Cờ đỏ: P&amp;L mơ hồ không có số cụ thể, không biết GP% của kênh chính, chưa từng chịu trách nhiệm P&amp;L thực sự</t>
  </si>
  <si>
    <t xml:space="preserve">PV6</t>
  </si>
  <si>
    <t xml:space="preserve">[TMĐT] Nếu Shopee thay đổi thuật toán ranking và GMV của Vimove giảm 30% trong 1 tuần, bạn sẽ làm gì trong 24h đầu, 1 tuần đầu, và 1 tháng đầu?</t>
  </si>
  <si>
    <t xml:space="preserve">🔍 Tìm: Phản ứng có cấu trúc (diagnosis trước, action sau), hiểu đủ về cơ chế sàn, không hoảng loạn
🚩 Cờ đỏ: Hoảng loạn, đổ lỗi sàn ngay, không có plan rõ ràng, không biết bắt đầu từ đâu để chẩn đoán</t>
  </si>
  <si>
    <t xml:space="preserve">PV7</t>
  </si>
  <si>
    <t xml:space="preserve">[CHIẾN LƯỢC ĐA SÀN] Vimove hiện có 80% GMV từ Shopee, 20% từ TikTok. Bạn nghĩ chiến lược đa sàn trong 2 năm tới nên như thế nào? Tỷ lệ phân bổ lý tưởng là gì và tại sao?</t>
  </si>
  <si>
    <t xml:space="preserve">🔍 Tìm: Tư duy risk management, hiểu dynamics từng sàn, không over-index vào 1 sàn, có góc nhìn về tương lai TikTok Shop
🚩 Cờ đỏ: Chỉ muốn tập trung 1 sàn vì 'đang tốt', không biết rủi ro của việc phụ thuộc 1 sàn, không biết TikTok Shop đang thay đổi thế nào</t>
  </si>
  <si>
    <t xml:space="preserve">N5 – GIAO TIẾP &amp; VĂN HÓA (2 câu)</t>
  </si>
  <si>
    <t xml:space="preserve">PV8</t>
  </si>
  <si>
    <t xml:space="preserve">[HĐQT] Kể về lần bạn mang tin xấu (miss KPI lớn, lỗ quý) lên HĐQT. Bạn chuẩn bị thế nào, trình bày thế nào, và phản ứng của HĐQT ra sao? Kết quả cuộc họp đó là gì?</t>
  </si>
  <si>
    <t xml:space="preserve">🔍 Tìm: Dũng cảm, minh bạch, chuẩn bị tốt với action plan thay vì chỉ báo cáo vấn đề, giữ được niềm tin HĐQT
🚩 Cờ đỏ: Tô vẽ thực tế với HĐQT, không có action plan khi báo tin xấu, để HĐQT bị surprise</t>
  </si>
  <si>
    <t xml:space="preserve">PV9</t>
  </si>
  <si>
    <t xml:space="preserve">[VĂN HÓA] Hãy mô tả văn hóa công ty bạn đã xây dựng — không phải core values trên giấy, mà là những hành vi cụ thể bạn thấy hàng ngày trong team. CEO làm gì cụ thể để tạo ra văn hóa đó?</t>
  </si>
  <si>
    <t xml:space="preserve">🔍 Tìm: Hiểu văn hóa là hành vi không phải slogan, CEO là người set gương cụ thể, văn hóa đo được (eNPS, turnover)
🚩 Cờ đỏ: Liệt kê core values mơ hồ, không có hành vi cụ thể, không biết eNPS của công ty mình</t>
  </si>
  <si>
    <t xml:space="preserve">FIT &amp; VIMOVE SPECIFIC (2 câu)</t>
  </si>
  <si>
    <t xml:space="preserve">PV10</t>
  </si>
  <si>
    <t xml:space="preserve">[FIT] Vimove là startup TMĐT vali ~30-50 người, chưa có brand mạnh, ngân sách hạn chế, CEO phải vừa làm chiến lược vừa đôi khi phải xắn tay làm cùng đội. 90 ngày đầu bạn sẽ ưu tiên làm gì TRƯỚC và kiên quyết KHÔNG làm gì?</t>
  </si>
  <si>
    <t xml:space="preserve">🔍 Tìm: Hiểu thực tế startup, focus đúng, không muốn xây bộ máy quá lớn ngay, sẵn sàng hands-on khi cần
🚩 Cờ đỏ: Muốn thuê thêm nhiều người ngay, đề xuất rebrand ngay, không có priority rõ, chưa có plan cụ thể cho 90 ngày</t>
  </si>
  <si>
    <t xml:space="preserve">PV11</t>
  </si>
  <si>
    <t xml:space="preserve">[NGÀNH] Bạn thấy 3 rủi ro lớn nhất và 3 cơ hội lớn nhất của ngành vali/hành lý TMĐT tại Việt Nam trong 2-3 năm tới? Và Vimove nên định vị thế nào để tận dụng cơ hội, né tránh rủi ro đó?</t>
  </si>
  <si>
    <t xml:space="preserve">🔍 Tìm: Có nghiên cứu ngành thực sự (không phải chỉ biết khi được hỏi), tư duy market positioning sắc bén, có điểm nhìn độc đáo
🚩 Cờ đỏ: Rủi ro/cơ hội quá chung chung áp dụng cho mọi ngành, không nghiên cứu ngành vali trước khi phỏng vấn CEO</t>
  </si>
  <si>
    <t xml:space="preserve">SCORE CARD ỨNG VIÊN – CEO VIMOVE</t>
  </si>
  <si>
    <t xml:space="preserve">Vimove TMĐT | Dùng cho: Vòng phỏng vấn HĐQT / Chủ tịch</t>
  </si>
  <si>
    <t xml:space="preserve">▌ THÔNG TIN ỨNG VIÊN</t>
  </si>
  <si>
    <t xml:space="preserve">Họ và tên ứng viên:</t>
  </si>
  <si>
    <t xml:space="preserve">_____________________________</t>
  </si>
  <si>
    <t xml:space="preserve">Vòng phỏng vấn:</t>
  </si>
  <si>
    <t xml:space="preserve">____________________</t>
  </si>
  <si>
    <t xml:space="preserve">Người phỏng vấn:</t>
  </si>
  <si>
    <t xml:space="preserve">Ngày phỏng vấn:</t>
  </si>
  <si>
    <t xml:space="preserve">Vị trí đang xét:</t>
  </si>
  <si>
    <t xml:space="preserve">Tổng Giám Đốc / CEO</t>
  </si>
  <si>
    <t xml:space="preserve">Điểm tổng trọng số:</t>
  </si>
  <si>
    <t xml:space="preserve">_____ / 4.0</t>
  </si>
  <si>
    <t xml:space="preserve">▌ BẢNG ĐIỂM NĂNG LỰC</t>
  </si>
  <si>
    <t xml:space="preserve">NHÓM NĂNG LỰC</t>
  </si>
  <si>
    <t xml:space="preserve">ĐIỂM (1–4)</t>
  </si>
  <si>
    <t xml:space="preserve">ĐIỂM TRỌNG SỐ</t>
  </si>
  <si>
    <t xml:space="preserve">MỨC ĐẠT</t>
  </si>
  <si>
    <t xml:space="preserve">NHẬN XÉT PV</t>
  </si>
  <si>
    <t xml:space="preserve">N4 – Lãnh đạo &amp; Phát triển tổ chức</t>
  </si>
  <si>
    <t xml:space="preserve">TỔNG ĐIỂM TRỌNG SỐ</t>
  </si>
  <si>
    <t xml:space="preserve">(≥ 2.7 = Đạt | ≥ 3.2 = Xuất sắc)</t>
  </si>
  <si>
    <t xml:space="preserve">▌ ĐIỀU KIỆN LOẠI – CEO (Dù điểm tổng cao vẫn bị loại nếu có 1 trong các điều kiện sau)</t>
  </si>
  <si>
    <t xml:space="preserve">ĐIỀU KIỆN</t>
  </si>
  <si>
    <t xml:space="preserve">KẾT QUẢ</t>
  </si>
  <si>
    <t xml:space="preserve">LÝ DO</t>
  </si>
  <si>
    <t xml:space="preserve">❌ N4 – Bất kỳ tiêu chí N4 nào đạt Cấp 1 (&lt; 1.5/4)</t>
  </si>
  <si>
    <t xml:space="preserve">LOẠI</t>
  </si>
  <si>
    <t xml:space="preserve">Lãnh đạo cấp CEO không đạt chuẩn tối thiểu — không thể đào tạo ngắn hạn</t>
  </si>
  <si>
    <t xml:space="preserve">❌ Chưa từng chịu trách nhiệm P&amp;L thực sự (GMV/doanh thu thực)</t>
  </si>
  <si>
    <t xml:space="preserve">CEO phải hiểu kinh doanh thực tế không chỉ lý thuyết</t>
  </si>
  <si>
    <t xml:space="preserve">❌ Cờ đỏ: đổ lỗi trong quá trình phỏng vấn (đổ lỗi team cũ, sàn, thị trường)</t>
  </si>
  <si>
    <t xml:space="preserve">Ownership là yêu cầu không thể thiếu ở cấp CEO</t>
  </si>
  <si>
    <t xml:space="preserve">❌ Không có kinh nghiệm quản lý đội &gt; 15 người trong môi trường TMĐT</t>
  </si>
  <si>
    <t xml:space="preserve">XEM XÉT LẠI</t>
  </si>
  <si>
    <t xml:space="preserve">Vimove cần CEO có thể scale tổ chức, không chỉ manage team nhỏ</t>
  </si>
  <si>
    <t xml:space="preserve">❌ Điểm tổng trọng số &lt; 2.7/4.0</t>
  </si>
  <si>
    <t xml:space="preserve">Dưới ngưỡng chấp nhận cho vị trí CEO Vimove</t>
  </si>
  <si>
    <t xml:space="preserve">▌ KHUYẾN NGHỊ TUYỂN DỤNG</t>
  </si>
  <si>
    <t xml:space="preserve">KẾT LUẬN</t>
  </si>
  <si>
    <t xml:space="preserve">MÔ TẢ</t>
  </si>
  <si>
    <t xml:space="preserve">✅ TUYỂN DỤNG</t>
  </si>
  <si>
    <t xml:space="preserve">Điểm ≥ 2.7, không có điều kiện loại, phù hợp văn hóa startup TMĐT Vimove</t>
  </si>
  <si>
    <t xml:space="preserve">⚠️ CÂN NHẮC THÊM</t>
  </si>
  <si>
    <t xml:space="preserve">Điểm 2.3–2.7, có 1-2 điểm yếu nhưng có thể bù bằng kinh nghiệm đặc thù</t>
  </si>
  <si>
    <t xml:space="preserve">❌ KHÔNG TUYỂN</t>
  </si>
  <si>
    <t xml:space="preserve">Điểm &lt; 2.3 hoặc có bất kỳ điều kiện loại nào được kích hoạt</t>
  </si>
  <si>
    <t xml:space="preserve">Nhận xét tổng hợp: ___________________________________________________________________ | Đề xuất bước tiếp theo: _______________________________________________</t>
  </si>
  <si>
    <t xml:space="preserve">KẾ HOẠCH 30-60-90 NGÀY – CEO VIMOVE</t>
  </si>
  <si>
    <t xml:space="preserve">Cam kết 2 chiều: CEO mới ↔ HĐQT Vimove | Mục tiêu: Hiểu → Tạo ảnh hưởng → Tăng trưởng</t>
  </si>
  <si>
    <t xml:space="preserve">▌ NGÀY 1–30: HIỂU &amp; LISTEN (Không thay đổi vội — Nghe trước, quyết sau)</t>
  </si>
  <si>
    <t xml:space="preserve">TUẦN</t>
  </si>
  <si>
    <t xml:space="preserve">CHỦ ĐỀ</t>
  </si>
  <si>
    <t xml:space="preserve">HÀNH ĐỘNG CỤ THỂ CEO</t>
  </si>
  <si>
    <t xml:space="preserve">NGƯỜI HỖ TRỢ</t>
  </si>
  <si>
    <t xml:space="preserve">HOÀN THÀNH</t>
  </si>
  <si>
    <t xml:space="preserve">T1</t>
  </si>
  <si>
    <t xml:space="preserve">Onboarding P&amp;L &amp; Data</t>
  </si>
  <si>
    <t xml:space="preserve">1. Đọc báo cáo tài chính 12 tháng gần nhất — hiểu P&amp;L thực tế
2. Xem dashboard GMV từng sàn theo ngày, tuần — nhận diện trend và anomaly
3. Họp 1-1 với từng GĐ: nghe họ mô tả mảng, thành tích, vấn đề, nhu cầu
4. Không ra quyết định thay đổi gì trong tuần này</t>
  </si>
  <si>
    <t xml:space="preserve">GĐ Tài chính, CCO, COO</t>
  </si>
  <si>
    <t xml:space="preserve">☐</t>
  </si>
  <si>
    <t xml:space="preserve">T2</t>
  </si>
  <si>
    <t xml:space="preserve">Vận hành thực tế TMĐT</t>
  </si>
  <si>
    <t xml:space="preserve">1. Ngồi cùng đội Sàn 1 ngày — xem quy trình vận hành Shopee/TikTok thực tế
2. Xem 1 buổi xử lý đơn tại kho — hiểu bottleneck logistics
3. Đọc 50 review khách hàng gần nhất (cả tốt và xấu) trên tất cả sàn
4. Phỏng vấn 5 nhân viên cấp thực thi: họ gặp vấn đề gì hàng ngày?</t>
  </si>
  <si>
    <t xml:space="preserve">TP Sàn, TP Logistics, TP CS</t>
  </si>
  <si>
    <t xml:space="preserve">T3</t>
  </si>
  <si>
    <t xml:space="preserve">Đối thủ &amp; Thị trường</t>
  </si>
  <si>
    <t xml:space="preserve">1. Phân tích 5 đối thủ chính: GMV ước tính, strategy, điểm mạnh/yếu vs Vimove
2. Nghiên cứu xu hướng ngành vali/hành lý TMĐT VN 2024-2025
3. Họp với HĐQT: chia sẻ quan sát 2 tuần đầu, không đưa ra kết luận vội
4. Xác định 3 điều 'must fix' và 3 điều 'must keep' trong 90 ngày đầu</t>
  </si>
  <si>
    <t xml:space="preserve">CCO, TP MKT, HĐQT</t>
  </si>
  <si>
    <t xml:space="preserve">T4</t>
  </si>
  <si>
    <t xml:space="preserve">Tổng hợp tháng 1</t>
  </si>
  <si>
    <t xml:space="preserve">1. Viết '30-day diagnosis': tình trạng thực tế Vimove vs kỳ vọng ban đầu
2. Xác định 3 ưu tiên tháng 2 — trình HĐQT
3. Bắt đầu 1-1 monthly định kỳ với từng GĐ từ tuần này
4. All-hands đầu tiên: giới thiệu bản thân, triết lý lãnh đạo, cam kết với đội</t>
  </si>
  <si>
    <t xml:space="preserve">Toàn bộ BGĐ, HĐQT</t>
  </si>
  <si>
    <t xml:space="preserve">▌ NGÀY 31–60: ẢNH HƯỞNG &amp; ƯU TIÊN (Bắt đầu thay đổi có hệ thống)</t>
  </si>
  <si>
    <t xml:space="preserve">T5</t>
  </si>
  <si>
    <t xml:space="preserve">Chiến lược GMV</t>
  </si>
  <si>
    <t xml:space="preserve">1. Cùng CCO xây kế hoạch GMV 6 tháng tới: target theo sàn, ngân sách ads, SKU focus
2. Phê duyệt hoặc điều chỉnh kế hoạch marketing Q tiếp theo
3. Quyết định ưu tiên sàn: Shopee giữ hay TikTok tăng tốc?
4. Xác định 5 SKU hero cần tập trung toàn nguồn lực</t>
  </si>
  <si>
    <t xml:space="preserve">CCO, TP Sàn, TP MKT</t>
  </si>
  <si>
    <t xml:space="preserve">T6</t>
  </si>
  <si>
    <t xml:space="preserve">Tổ chức &amp; HR</t>
  </si>
  <si>
    <t xml:space="preserve">1. Đánh giá lại cơ cấu tổ chức hiện tại vs nhu cầu tăng trưởng 1 năm tới
2. Quyết định: cần bổ sung vị trí nào? Vị trí nào đang không phù hợp người?
3. Setup OKR hệ thống toàn công ty cho quý tiếp theo
4. Bắt đầu quy trình tuyển dụng nếu cần bổ sung C-Suite</t>
  </si>
  <si>
    <t xml:space="preserve">TP HR, toàn bộ GĐ</t>
  </si>
  <si>
    <t xml:space="preserve">T7</t>
  </si>
  <si>
    <t xml:space="preserve">Vận hành &amp; SOP</t>
  </si>
  <si>
    <t xml:space="preserve">1. Xác định 3 quy trình vận hành TMĐT đang yếu nhất — giao GĐ phụ trách sửa
2. Setup dashboard CEO: GMV, ROAS, turnover, eNPS cập nhật tuần
3. Thiết lập meeting cadence chuẩn: họp BGĐ thứ 2, báo cáo tháng ngày 5
4. Đàm phán với sàn (Shopee/TikTok): giới thiệu bản thân CEO mới, tìm cơ hội ưu đãi</t>
  </si>
  <si>
    <t xml:space="preserve">Toàn BGĐ, TP Sàn</t>
  </si>
  <si>
    <t xml:space="preserve">T8</t>
  </si>
  <si>
    <t xml:space="preserve">Tổng kết 60 ngày</t>
  </si>
  <si>
    <t xml:space="preserve">1. Báo cáo 60 ngày với HĐQT: đã hiểu gì, đã thay đổi gì, sẽ làm gì tiếp
2. Đo kết quả đầu tiên: GMV có thay đổi không? Team có align không?
3. Điều chỉnh kế hoạch 30 ngày cuối nếu cần
4. Khảo sát nhanh eNPS lần 1 — baseline đo lường culture</t>
  </si>
  <si>
    <t xml:space="preserve">HĐQT, toàn bộ GĐ</t>
  </si>
  <si>
    <t xml:space="preserve">▌ NGÀY 61–90: TĂNG TRƯỞNG &amp; MOMENTUM (Kết quả đầu tiên phải hiện ra)</t>
  </si>
  <si>
    <t xml:space="preserve">T9</t>
  </si>
  <si>
    <t xml:space="preserve">Execution Campaign</t>
  </si>
  <si>
    <t xml:space="preserve">1. Chủ trì war room campaign lớn đầu tiên (nếu trong giai đoạn này có Flash Sale lớn)
2. Theo dõi GMV daily — can thiệp kịp thời nếu lệch &gt; 20% KH
3. Đảm bảo team phối hợp MKT-Sàn-Kho-CS tốt trong campaign</t>
  </si>
  <si>
    <t xml:space="preserve">CCO, toàn BGĐ</t>
  </si>
  <si>
    <t xml:space="preserve">T10</t>
  </si>
  <si>
    <t xml:space="preserve">Tuyển dụng &amp; Phát triển</t>
  </si>
  <si>
    <t xml:space="preserve">1. Đóng tuyển dụng C-Suite/TP còn thiếu (nếu có)
2. Setup IDP cho tất cả GĐ trực tiếp — lộ trình phát triển 1 năm
3. Xác định người kế thừa tiềm năng cho ít nhất 2 vị trí key</t>
  </si>
  <si>
    <t xml:space="preserve">TP HR, từng GĐ</t>
  </si>
  <si>
    <t xml:space="preserve">T11</t>
  </si>
  <si>
    <t xml:space="preserve">Chiến lược năm</t>
  </si>
  <si>
    <t xml:space="preserve">1. Xây chiến lược kinh doanh năm tới: GMV target, kênh, SKU, team
2. Chuẩn bị pitch chiến lược cho HĐQT phê duyệt
3. Cascade chiến lược xuống: mỗi GĐ có OKR năm phù hợp</t>
  </si>
  <si>
    <t xml:space="preserve">Toàn BGĐ, HĐQT</t>
  </si>
  <si>
    <t xml:space="preserve">T12</t>
  </si>
  <si>
    <t xml:space="preserve">Tổng kết 90 ngày</t>
  </si>
  <si>
    <t xml:space="preserve">1. Báo cáo 90 ngày toàn diện với HĐQT: số liệu GMV, thay đổi tổ chức, chiến lược năm tới
2. All-hands 90 ngày: chia sẻ 'Vimove ở đâu, đi về đâu, bạn quan trọng thế nào'
3. Đo kết quả: GMV vs tháng đầu CEO nhậm chức, eNPS lần 2 so baseline
4. Cam kết KPI năm với HĐQT — chính thức bắt đầu giai đoạn điều hành đầy đủ</t>
  </si>
  <si>
    <t xml:space="preserve">HĐQT, toàn công ty</t>
  </si>
  <si>
    <t xml:space="preserve">▌ CAM KẾT 2 CHIỀU</t>
  </si>
  <si>
    <t xml:space="preserve">CAM KẾT CỦA CEO MỚI</t>
  </si>
  <si>
    <t xml:space="preserve">CAM KẾT CỦA VIMOVE / HĐQT</t>
  </si>
  <si>
    <t xml:space="preserve">✅</t>
  </si>
  <si>
    <t xml:space="preserve">Đạt KPI GMV quý 1 theo thỏa thuận</t>
  </si>
  <si>
    <t xml:space="preserve">Cung cấp đầy đủ thông tin tài chính, vận hành, nhân sự ngay ngày đầu</t>
  </si>
  <si>
    <t xml:space="preserve">Xây OKR cascade toàn công ty trong 60 ngày đầu</t>
  </si>
  <si>
    <t xml:space="preserve">Không thay đổi KPI CEO đột ngột trong 6 tháng đầu</t>
  </si>
  <si>
    <t xml:space="preserve">Báo cáo HĐQT đúng hạn, minh bạch, không surprise</t>
  </si>
  <si>
    <t xml:space="preserve">HĐQT họp đúng lịch và ra quyết định trong ≤ 48h khi CEO cần</t>
  </si>
  <si>
    <t xml:space="preserve">Xây dựng văn hóa ownership trong đội ngũ</t>
  </si>
  <si>
    <t xml:space="preserve">Hỗ trợ ngân sách marketing theo kế hoạch được phê duyệt</t>
  </si>
  <si>
    <t xml:space="preserve">Báo cáo ngay khi có rủi ro — không giấu tin xấu</t>
  </si>
  <si>
    <t xml:space="preserve">Giới thiệu CEO mới với đối tác sàn và NCC chiến lược</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</si>
</sst>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9"/>
      <color rgb="FFFFFFFF"/>
      <name val="Arial"/>
      <family val="0"/>
      <charset val="1"/>
    </font>
    <font>
      <sz val="9"/>
      <color rgb="FF000000"/>
      <name val="Arial"/>
      <family val="0"/>
      <charset val="1"/>
    </font>
    <font>
      <sz val="10"/>
      <color rgb="FF000000"/>
      <name val="Arial"/>
      <family val="0"/>
      <charset val="1"/>
    </font>
    <font>
      <b val="true"/>
      <sz val="9"/>
      <color rgb="FF000000"/>
      <name val="Arial"/>
      <family val="0"/>
      <charset val="1"/>
    </font>
    <font>
      <sz val="8"/>
      <color rgb="FF000000"/>
      <name val="Arial"/>
      <family val="0"/>
      <charset val="1"/>
    </font>
    <font>
      <b val="true"/>
      <sz val="10"/>
      <color rgb="FF000000"/>
      <name val="Arial"/>
      <family val="0"/>
      <charset val="1"/>
    </font>
    <font>
      <sz val="14"/>
      <color rgb="FF000000"/>
      <name val="Arial"/>
      <family val="0"/>
      <charset val="1"/>
    </font>
    <font>
      <b val="true"/>
      <sz val="12"/>
      <color rgb="FF000000"/>
      <name val="Arial"/>
      <family val="0"/>
      <charset val="1"/>
    </font>
  </fonts>
  <fills count="11">
    <fill>
      <patternFill patternType="none"/>
    </fill>
    <fill>
      <patternFill patternType="gray125"/>
    </fill>
    <fill>
      <patternFill patternType="solid">
        <fgColor rgb="FF4B2D8F"/>
        <bgColor rgb="FF333333"/>
      </patternFill>
    </fill>
    <fill>
      <patternFill patternType="solid">
        <fgColor rgb="FF7B5EA7"/>
        <bgColor rgb="FF808080"/>
      </patternFill>
    </fill>
    <fill>
      <patternFill patternType="solid">
        <fgColor rgb="FFEDE9F7"/>
        <bgColor rgb="FFE9F3FF"/>
      </patternFill>
    </fill>
    <fill>
      <patternFill patternType="solid">
        <fgColor rgb="FFE9F3FF"/>
        <bgColor rgb="FFF5F3FF"/>
      </patternFill>
    </fill>
    <fill>
      <patternFill patternType="solid">
        <fgColor rgb="FFF5F3FF"/>
        <bgColor rgb="FFE9F3FF"/>
      </patternFill>
    </fill>
    <fill>
      <patternFill patternType="solid">
        <fgColor rgb="FFFFFFFF"/>
        <bgColor rgb="FFF5F3FF"/>
      </patternFill>
    </fill>
    <fill>
      <patternFill patternType="solid">
        <fgColor rgb="FFFFE0E0"/>
        <bgColor rgb="FFEDE9F7"/>
      </patternFill>
    </fill>
    <fill>
      <patternFill patternType="solid">
        <fgColor rgb="FFFFF2CC"/>
        <bgColor rgb="FFFFE0E0"/>
      </patternFill>
    </fill>
    <fill>
      <patternFill patternType="solid">
        <fgColor rgb="FFE2EFDA"/>
        <bgColor rgb="FFEDE9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4" fontId="10" fillId="9" borderId="1"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5" fontId="11" fillId="10"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9" fillId="10"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9F3FF"/>
      <rgbColor rgb="FF660066"/>
      <rgbColor rgb="FFFF8080"/>
      <rgbColor rgb="FF0066CC"/>
      <rgbColor rgb="FFEDE9F7"/>
      <rgbColor rgb="FF000080"/>
      <rgbColor rgb="FFFF00FF"/>
      <rgbColor rgb="FFFFFF00"/>
      <rgbColor rgb="FF00FFFF"/>
      <rgbColor rgb="FF800080"/>
      <rgbColor rgb="FF800000"/>
      <rgbColor rgb="FF008080"/>
      <rgbColor rgb="FF0000FF"/>
      <rgbColor rgb="FF00CCFF"/>
      <rgbColor rgb="FFF5F3FF"/>
      <rgbColor rgb="FFE2EFDA"/>
      <rgbColor rgb="FFFFFF99"/>
      <rgbColor rgb="FF99CCFF"/>
      <rgbColor rgb="FFFF99CC"/>
      <rgbColor rgb="FFCC99FF"/>
      <rgbColor rgb="FFFFE0E0"/>
      <rgbColor rgb="FF3366FF"/>
      <rgbColor rgb="FF33CCCC"/>
      <rgbColor rgb="FF99CC00"/>
      <rgbColor rgb="FFFFCC00"/>
      <rgbColor rgb="FFFF9900"/>
      <rgbColor rgb="FFFF6600"/>
      <rgbColor rgb="FF7B5EA7"/>
      <rgbColor rgb="FF969696"/>
      <rgbColor rgb="FF003366"/>
      <rgbColor rgb="FF339966"/>
      <rgbColor rgb="FF003300"/>
      <rgbColor rgb="FF333300"/>
      <rgbColor rgb="FF993300"/>
      <rgbColor rgb="FF993366"/>
      <rgbColor rgb="FF4B2D8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52"/>
    <col collapsed="false" customWidth="true" hidden="false" outlineLevel="0" max="5" min="4" style="0" width="14"/>
    <col collapsed="false" customWidth="true" hidden="false" outlineLevel="0" max="6" min="6" style="0" width="20"/>
  </cols>
  <sheetData>
    <row r="1" customFormat="false" ht="39.75" hidden="false" customHeight="true" outlineLevel="0" collapsed="false">
      <c r="A1" s="1" t="s">
        <v>0</v>
      </c>
      <c r="B1" s="1"/>
      <c r="C1" s="1"/>
      <c r="D1" s="1"/>
      <c r="E1" s="1"/>
      <c r="F1" s="1"/>
    </row>
    <row r="2" customFormat="false" ht="24" hidden="false" customHeight="true" outlineLevel="0" collapsed="false">
      <c r="A2" s="2" t="s">
        <v>1</v>
      </c>
      <c r="B2" s="2"/>
      <c r="C2" s="2"/>
      <c r="D2" s="2"/>
      <c r="E2" s="2"/>
      <c r="F2" s="2"/>
    </row>
    <row r="3" customFormat="false" ht="21.75" hidden="false" customHeight="true" outlineLevel="0" collapsed="false">
      <c r="A3" s="3" t="s">
        <v>2</v>
      </c>
      <c r="B3" s="3"/>
      <c r="C3" s="3"/>
      <c r="D3" s="3"/>
      <c r="E3" s="3"/>
      <c r="F3" s="3"/>
    </row>
    <row r="4" customFormat="false" ht="19.5" hidden="false" customHeight="true" outlineLevel="0" collapsed="false">
      <c r="A4" s="4" t="s">
        <v>3</v>
      </c>
      <c r="B4" s="4" t="s">
        <v>4</v>
      </c>
      <c r="C4" s="4" t="s">
        <v>3</v>
      </c>
      <c r="D4" s="4" t="s">
        <v>4</v>
      </c>
      <c r="E4" s="4"/>
      <c r="F4" s="4"/>
    </row>
    <row r="5" customFormat="false" ht="30" hidden="false" customHeight="true" outlineLevel="0" collapsed="false">
      <c r="A5" s="5" t="s">
        <v>5</v>
      </c>
      <c r="B5" s="6" t="s">
        <v>6</v>
      </c>
      <c r="C5" s="5" t="s">
        <v>7</v>
      </c>
      <c r="D5" s="6" t="s">
        <v>8</v>
      </c>
      <c r="E5" s="6"/>
      <c r="F5" s="6"/>
    </row>
    <row r="6" customFormat="false" ht="30" hidden="false" customHeight="true" outlineLevel="0" collapsed="false">
      <c r="A6" s="5" t="s">
        <v>9</v>
      </c>
      <c r="B6" s="6" t="s">
        <v>10</v>
      </c>
      <c r="C6" s="5" t="s">
        <v>11</v>
      </c>
      <c r="D6" s="6" t="s">
        <v>12</v>
      </c>
      <c r="E6" s="6"/>
      <c r="F6" s="6"/>
    </row>
    <row r="7" customFormat="false" ht="30" hidden="false" customHeight="true" outlineLevel="0" collapsed="false">
      <c r="A7" s="5" t="s">
        <v>13</v>
      </c>
      <c r="B7" s="6" t="s">
        <v>14</v>
      </c>
      <c r="C7" s="5" t="s">
        <v>15</v>
      </c>
      <c r="D7" s="6" t="s">
        <v>16</v>
      </c>
      <c r="E7" s="6"/>
      <c r="F7" s="6"/>
    </row>
    <row r="8" customFormat="false" ht="30" hidden="false" customHeight="true" outlineLevel="0" collapsed="false">
      <c r="A8" s="5" t="s">
        <v>17</v>
      </c>
      <c r="B8" s="6" t="s">
        <v>18</v>
      </c>
      <c r="C8" s="5" t="s">
        <v>19</v>
      </c>
      <c r="D8" s="6" t="s">
        <v>20</v>
      </c>
      <c r="E8" s="6"/>
      <c r="F8" s="6"/>
    </row>
    <row r="10" customFormat="false" ht="21.75" hidden="false" customHeight="true" outlineLevel="0" collapsed="false">
      <c r="A10" s="3" t="s">
        <v>21</v>
      </c>
      <c r="B10" s="3"/>
      <c r="C10" s="3"/>
      <c r="D10" s="3"/>
      <c r="E10" s="3"/>
      <c r="F10" s="3"/>
    </row>
    <row r="11" customFormat="false" ht="60" hidden="false" customHeight="true" outlineLevel="0" collapsed="false">
      <c r="A11" s="7" t="s">
        <v>22</v>
      </c>
      <c r="B11" s="7"/>
      <c r="C11" s="7"/>
      <c r="D11" s="7"/>
      <c r="E11" s="7"/>
      <c r="F11" s="7"/>
    </row>
    <row r="13" customFormat="false" ht="21.75" hidden="false" customHeight="true" outlineLevel="0" collapsed="false">
      <c r="A13" s="3" t="s">
        <v>23</v>
      </c>
      <c r="B13" s="3"/>
      <c r="C13" s="3"/>
      <c r="D13" s="3"/>
      <c r="E13" s="3"/>
      <c r="F13" s="3"/>
    </row>
    <row r="14" customFormat="false" ht="21.75" hidden="false" customHeight="true" outlineLevel="0" collapsed="false">
      <c r="A14" s="4" t="s">
        <v>24</v>
      </c>
      <c r="B14" s="4" t="s">
        <v>25</v>
      </c>
      <c r="C14" s="4" t="s">
        <v>26</v>
      </c>
      <c r="D14" s="4" t="s">
        <v>27</v>
      </c>
      <c r="E14" s="4" t="s">
        <v>28</v>
      </c>
      <c r="F14" s="4" t="s">
        <v>29</v>
      </c>
    </row>
    <row r="15" customFormat="false" ht="21.75" hidden="false" customHeight="true" outlineLevel="0" collapsed="false">
      <c r="A15" s="5" t="s">
        <v>30</v>
      </c>
      <c r="B15" s="5"/>
      <c r="C15" s="5"/>
      <c r="D15" s="5"/>
      <c r="E15" s="5"/>
      <c r="F15" s="5"/>
    </row>
    <row r="16" customFormat="false" ht="61.5" hidden="false" customHeight="true" outlineLevel="0" collapsed="false">
      <c r="A16" s="8" t="s">
        <v>31</v>
      </c>
      <c r="B16" s="9" t="s">
        <v>32</v>
      </c>
      <c r="C16" s="9" t="s">
        <v>33</v>
      </c>
      <c r="D16" s="10" t="s">
        <v>34</v>
      </c>
      <c r="E16" s="10" t="s">
        <v>35</v>
      </c>
      <c r="F16" s="9" t="s">
        <v>36</v>
      </c>
    </row>
    <row r="17" customFormat="false" ht="61.5" hidden="false" customHeight="true" outlineLevel="0" collapsed="false">
      <c r="A17" s="11" t="s">
        <v>37</v>
      </c>
      <c r="B17" s="12" t="s">
        <v>38</v>
      </c>
      <c r="C17" s="12" t="s">
        <v>39</v>
      </c>
      <c r="D17" s="13" t="s">
        <v>40</v>
      </c>
      <c r="E17" s="13" t="s">
        <v>35</v>
      </c>
      <c r="F17" s="12" t="s">
        <v>41</v>
      </c>
    </row>
    <row r="18" customFormat="false" ht="61.5" hidden="false" customHeight="true" outlineLevel="0" collapsed="false">
      <c r="A18" s="8" t="s">
        <v>42</v>
      </c>
      <c r="B18" s="9" t="s">
        <v>43</v>
      </c>
      <c r="C18" s="9" t="s">
        <v>44</v>
      </c>
      <c r="D18" s="10" t="s">
        <v>45</v>
      </c>
      <c r="E18" s="10" t="s">
        <v>35</v>
      </c>
      <c r="F18" s="9" t="s">
        <v>46</v>
      </c>
    </row>
    <row r="19" customFormat="false" ht="61.5" hidden="false" customHeight="true" outlineLevel="0" collapsed="false">
      <c r="A19" s="11" t="s">
        <v>47</v>
      </c>
      <c r="B19" s="12" t="s">
        <v>48</v>
      </c>
      <c r="C19" s="12" t="s">
        <v>49</v>
      </c>
      <c r="D19" s="13" t="s">
        <v>50</v>
      </c>
      <c r="E19" s="13" t="s">
        <v>35</v>
      </c>
      <c r="F19" s="12" t="s">
        <v>51</v>
      </c>
    </row>
    <row r="20" customFormat="false" ht="21.75" hidden="false" customHeight="true" outlineLevel="0" collapsed="false">
      <c r="A20" s="5" t="s">
        <v>52</v>
      </c>
      <c r="B20" s="5"/>
      <c r="C20" s="5"/>
      <c r="D20" s="5"/>
      <c r="E20" s="5"/>
      <c r="F20" s="5"/>
    </row>
    <row r="21" customFormat="false" ht="61.5" hidden="false" customHeight="true" outlineLevel="0" collapsed="false">
      <c r="A21" s="11" t="s">
        <v>53</v>
      </c>
      <c r="B21" s="12" t="s">
        <v>54</v>
      </c>
      <c r="C21" s="12" t="s">
        <v>55</v>
      </c>
      <c r="D21" s="13" t="s">
        <v>56</v>
      </c>
      <c r="E21" s="13" t="s">
        <v>35</v>
      </c>
      <c r="F21" s="12" t="s">
        <v>57</v>
      </c>
    </row>
    <row r="22" customFormat="false" ht="61.5" hidden="false" customHeight="true" outlineLevel="0" collapsed="false">
      <c r="A22" s="8" t="s">
        <v>58</v>
      </c>
      <c r="B22" s="9" t="s">
        <v>59</v>
      </c>
      <c r="C22" s="9" t="s">
        <v>60</v>
      </c>
      <c r="D22" s="10" t="s">
        <v>61</v>
      </c>
      <c r="E22" s="10" t="s">
        <v>35</v>
      </c>
      <c r="F22" s="9" t="s">
        <v>62</v>
      </c>
    </row>
    <row r="23" customFormat="false" ht="61.5" hidden="false" customHeight="true" outlineLevel="0" collapsed="false">
      <c r="A23" s="11" t="s">
        <v>63</v>
      </c>
      <c r="B23" s="12" t="s">
        <v>64</v>
      </c>
      <c r="C23" s="12" t="s">
        <v>65</v>
      </c>
      <c r="D23" s="13" t="s">
        <v>40</v>
      </c>
      <c r="E23" s="13" t="s">
        <v>35</v>
      </c>
      <c r="F23" s="12" t="s">
        <v>66</v>
      </c>
    </row>
    <row r="24" customFormat="false" ht="21.75" hidden="false" customHeight="true" outlineLevel="0" collapsed="false">
      <c r="A24" s="5" t="s">
        <v>67</v>
      </c>
      <c r="B24" s="5"/>
      <c r="C24" s="5"/>
      <c r="D24" s="5"/>
      <c r="E24" s="5"/>
      <c r="F24" s="5"/>
    </row>
    <row r="25" customFormat="false" ht="61.5" hidden="false" customHeight="true" outlineLevel="0" collapsed="false">
      <c r="A25" s="11" t="s">
        <v>68</v>
      </c>
      <c r="B25" s="12" t="s">
        <v>69</v>
      </c>
      <c r="C25" s="12" t="s">
        <v>70</v>
      </c>
      <c r="D25" s="13" t="s">
        <v>71</v>
      </c>
      <c r="E25" s="13" t="s">
        <v>35</v>
      </c>
      <c r="F25" s="12" t="s">
        <v>72</v>
      </c>
    </row>
    <row r="26" customFormat="false" ht="61.5" hidden="false" customHeight="true" outlineLevel="0" collapsed="false">
      <c r="A26" s="8" t="s">
        <v>73</v>
      </c>
      <c r="B26" s="9" t="s">
        <v>74</v>
      </c>
      <c r="C26" s="9" t="s">
        <v>75</v>
      </c>
      <c r="D26" s="10" t="s">
        <v>40</v>
      </c>
      <c r="E26" s="10" t="s">
        <v>35</v>
      </c>
      <c r="F26" s="9" t="s">
        <v>76</v>
      </c>
    </row>
    <row r="27" customFormat="false" ht="61.5" hidden="false" customHeight="true" outlineLevel="0" collapsed="false">
      <c r="A27" s="11" t="s">
        <v>77</v>
      </c>
      <c r="B27" s="12" t="s">
        <v>78</v>
      </c>
      <c r="C27" s="12" t="s">
        <v>79</v>
      </c>
      <c r="D27" s="13" t="s">
        <v>80</v>
      </c>
      <c r="E27" s="13" t="s">
        <v>35</v>
      </c>
      <c r="F27" s="12" t="s">
        <v>81</v>
      </c>
    </row>
    <row r="28" customFormat="false" ht="21.75" hidden="false" customHeight="true" outlineLevel="0" collapsed="false">
      <c r="A28" s="5" t="s">
        <v>82</v>
      </c>
      <c r="B28" s="5"/>
      <c r="C28" s="5"/>
      <c r="D28" s="5"/>
      <c r="E28" s="5"/>
      <c r="F28" s="5"/>
    </row>
    <row r="29" customFormat="false" ht="61.5" hidden="false" customHeight="true" outlineLevel="0" collapsed="false">
      <c r="A29" s="11" t="s">
        <v>83</v>
      </c>
      <c r="B29" s="12" t="s">
        <v>84</v>
      </c>
      <c r="C29" s="12" t="s">
        <v>85</v>
      </c>
      <c r="D29" s="13" t="s">
        <v>50</v>
      </c>
      <c r="E29" s="13" t="s">
        <v>35</v>
      </c>
      <c r="F29" s="12" t="s">
        <v>86</v>
      </c>
    </row>
    <row r="30" customFormat="false" ht="61.5" hidden="false" customHeight="true" outlineLevel="0" collapsed="false">
      <c r="A30" s="8" t="s">
        <v>87</v>
      </c>
      <c r="B30" s="9" t="s">
        <v>88</v>
      </c>
      <c r="C30" s="9" t="s">
        <v>89</v>
      </c>
      <c r="D30" s="10" t="s">
        <v>45</v>
      </c>
      <c r="E30" s="10" t="s">
        <v>35</v>
      </c>
      <c r="F30" s="9" t="s">
        <v>90</v>
      </c>
    </row>
    <row r="31" customFormat="false" ht="61.5" hidden="false" customHeight="true" outlineLevel="0" collapsed="false">
      <c r="A31" s="11" t="s">
        <v>91</v>
      </c>
      <c r="B31" s="12" t="s">
        <v>92</v>
      </c>
      <c r="C31" s="12" t="s">
        <v>93</v>
      </c>
      <c r="D31" s="13" t="s">
        <v>40</v>
      </c>
      <c r="E31" s="13" t="s">
        <v>35</v>
      </c>
      <c r="F31" s="12" t="s">
        <v>94</v>
      </c>
    </row>
    <row r="32" customFormat="false" ht="21.75" hidden="false" customHeight="true" outlineLevel="0" collapsed="false">
      <c r="A32" s="5" t="s">
        <v>95</v>
      </c>
      <c r="B32" s="5"/>
      <c r="C32" s="5"/>
      <c r="D32" s="5"/>
      <c r="E32" s="5"/>
      <c r="F32" s="5"/>
    </row>
    <row r="33" customFormat="false" ht="61.5" hidden="false" customHeight="true" outlineLevel="0" collapsed="false">
      <c r="A33" s="11" t="s">
        <v>96</v>
      </c>
      <c r="B33" s="12" t="s">
        <v>97</v>
      </c>
      <c r="C33" s="12" t="s">
        <v>98</v>
      </c>
      <c r="D33" s="13" t="s">
        <v>50</v>
      </c>
      <c r="E33" s="13" t="s">
        <v>35</v>
      </c>
      <c r="F33" s="12" t="s">
        <v>99</v>
      </c>
    </row>
    <row r="34" customFormat="false" ht="61.5" hidden="false" customHeight="true" outlineLevel="0" collapsed="false">
      <c r="A34" s="8" t="s">
        <v>100</v>
      </c>
      <c r="B34" s="9" t="s">
        <v>101</v>
      </c>
      <c r="C34" s="9" t="s">
        <v>102</v>
      </c>
      <c r="D34" s="10" t="s">
        <v>71</v>
      </c>
      <c r="E34" s="10" t="s">
        <v>35</v>
      </c>
      <c r="F34" s="9" t="s">
        <v>103</v>
      </c>
    </row>
    <row r="35" customFormat="false" ht="21.75" hidden="false" customHeight="true" outlineLevel="0" collapsed="false">
      <c r="A35" s="5" t="s">
        <v>104</v>
      </c>
      <c r="B35" s="5"/>
      <c r="C35" s="5"/>
      <c r="D35" s="5"/>
      <c r="E35" s="5"/>
      <c r="F35" s="5"/>
    </row>
    <row r="36" customFormat="false" ht="61.5" hidden="false" customHeight="true" outlineLevel="0" collapsed="false">
      <c r="A36" s="8" t="s">
        <v>105</v>
      </c>
      <c r="B36" s="9" t="s">
        <v>106</v>
      </c>
      <c r="C36" s="9" t="s">
        <v>107</v>
      </c>
      <c r="D36" s="10" t="s">
        <v>108</v>
      </c>
      <c r="E36" s="10" t="s">
        <v>109</v>
      </c>
      <c r="F36" s="9" t="s">
        <v>110</v>
      </c>
    </row>
    <row r="37" customFormat="false" ht="61.5" hidden="false" customHeight="true" outlineLevel="0" collapsed="false">
      <c r="A37" s="11" t="s">
        <v>111</v>
      </c>
      <c r="B37" s="12" t="s">
        <v>112</v>
      </c>
      <c r="C37" s="12" t="s">
        <v>113</v>
      </c>
      <c r="D37" s="13" t="s">
        <v>108</v>
      </c>
      <c r="E37" s="13" t="s">
        <v>109</v>
      </c>
      <c r="F37" s="12" t="s">
        <v>110</v>
      </c>
    </row>
    <row r="39" customFormat="false" ht="21.75" hidden="false" customHeight="true" outlineLevel="0" collapsed="false">
      <c r="A39" s="3" t="s">
        <v>114</v>
      </c>
      <c r="B39" s="3"/>
      <c r="C39" s="3"/>
      <c r="D39" s="3"/>
      <c r="E39" s="3"/>
      <c r="F39" s="3"/>
    </row>
    <row r="40" customFormat="false" ht="21.75" hidden="false" customHeight="true" outlineLevel="0" collapsed="false">
      <c r="A40" s="4" t="s">
        <v>24</v>
      </c>
      <c r="B40" s="4" t="s">
        <v>115</v>
      </c>
      <c r="C40" s="4" t="s">
        <v>116</v>
      </c>
      <c r="D40" s="4" t="s">
        <v>117</v>
      </c>
      <c r="E40" s="4" t="s">
        <v>118</v>
      </c>
      <c r="F40" s="4" t="s">
        <v>119</v>
      </c>
    </row>
    <row r="41" customFormat="false" ht="45" hidden="false" customHeight="true" outlineLevel="0" collapsed="false">
      <c r="A41" s="8" t="s">
        <v>120</v>
      </c>
      <c r="B41" s="9" t="s">
        <v>121</v>
      </c>
      <c r="C41" s="10" t="s">
        <v>122</v>
      </c>
      <c r="D41" s="9" t="s">
        <v>123</v>
      </c>
      <c r="E41" s="9" t="s">
        <v>124</v>
      </c>
      <c r="F41" s="9" t="s">
        <v>125</v>
      </c>
    </row>
    <row r="42" customFormat="false" ht="45" hidden="false" customHeight="true" outlineLevel="0" collapsed="false">
      <c r="A42" s="11" t="s">
        <v>126</v>
      </c>
      <c r="B42" s="12" t="s">
        <v>127</v>
      </c>
      <c r="C42" s="13" t="s">
        <v>128</v>
      </c>
      <c r="D42" s="12" t="s">
        <v>129</v>
      </c>
      <c r="E42" s="12" t="s">
        <v>130</v>
      </c>
      <c r="F42" s="12" t="s">
        <v>131</v>
      </c>
    </row>
    <row r="43" customFormat="false" ht="45" hidden="false" customHeight="true" outlineLevel="0" collapsed="false">
      <c r="A43" s="8" t="s">
        <v>132</v>
      </c>
      <c r="B43" s="9" t="s">
        <v>133</v>
      </c>
      <c r="C43" s="10" t="s">
        <v>128</v>
      </c>
      <c r="D43" s="9" t="s">
        <v>134</v>
      </c>
      <c r="E43" s="9" t="s">
        <v>135</v>
      </c>
      <c r="F43" s="9" t="s">
        <v>136</v>
      </c>
    </row>
    <row r="44" customFormat="false" ht="45" hidden="false" customHeight="true" outlineLevel="0" collapsed="false">
      <c r="A44" s="11" t="s">
        <v>137</v>
      </c>
      <c r="B44" s="12" t="s">
        <v>138</v>
      </c>
      <c r="C44" s="13" t="s">
        <v>139</v>
      </c>
      <c r="D44" s="12" t="s">
        <v>140</v>
      </c>
      <c r="E44" s="12" t="s">
        <v>141</v>
      </c>
      <c r="F44" s="12" t="s">
        <v>142</v>
      </c>
    </row>
    <row r="45" customFormat="false" ht="45" hidden="false" customHeight="true" outlineLevel="0" collapsed="false">
      <c r="A45" s="8" t="s">
        <v>143</v>
      </c>
      <c r="B45" s="9" t="s">
        <v>144</v>
      </c>
      <c r="C45" s="10" t="s">
        <v>145</v>
      </c>
      <c r="D45" s="9" t="s">
        <v>146</v>
      </c>
      <c r="E45" s="9" t="s">
        <v>147</v>
      </c>
      <c r="F45" s="9" t="s">
        <v>148</v>
      </c>
    </row>
    <row r="46" customFormat="false" ht="45" hidden="false" customHeight="true" outlineLevel="0" collapsed="false">
      <c r="A46" s="11" t="s">
        <v>149</v>
      </c>
      <c r="B46" s="12" t="s">
        <v>150</v>
      </c>
      <c r="C46" s="13" t="s">
        <v>145</v>
      </c>
      <c r="D46" s="12" t="s">
        <v>151</v>
      </c>
      <c r="E46" s="12" t="s">
        <v>152</v>
      </c>
      <c r="F46" s="12" t="s">
        <v>153</v>
      </c>
    </row>
  </sheetData>
  <mergeCells count="17">
    <mergeCell ref="A1:F1"/>
    <mergeCell ref="A2:F2"/>
    <mergeCell ref="A3:F3"/>
    <mergeCell ref="D5:F5"/>
    <mergeCell ref="D6:F6"/>
    <mergeCell ref="D7:F7"/>
    <mergeCell ref="D8:F8"/>
    <mergeCell ref="A10:F10"/>
    <mergeCell ref="A11:F11"/>
    <mergeCell ref="A13:F13"/>
    <mergeCell ref="A15:F15"/>
    <mergeCell ref="A20:F20"/>
    <mergeCell ref="A24:F24"/>
    <mergeCell ref="A28:F28"/>
    <mergeCell ref="A32:F32"/>
    <mergeCell ref="A35:F35"/>
    <mergeCell ref="A39:F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6" min="3" style="0" width="38"/>
  </cols>
  <sheetData>
    <row r="1" customFormat="false" ht="39.75" hidden="false" customHeight="true" outlineLevel="0" collapsed="false">
      <c r="A1" s="1" t="s">
        <v>154</v>
      </c>
      <c r="B1" s="1"/>
      <c r="C1" s="1"/>
      <c r="D1" s="1"/>
      <c r="E1" s="1"/>
      <c r="F1" s="1"/>
    </row>
    <row r="2" customFormat="false" ht="24" hidden="false" customHeight="true" outlineLevel="0" collapsed="false">
      <c r="A2" s="2" t="s">
        <v>155</v>
      </c>
      <c r="B2" s="2"/>
      <c r="C2" s="2"/>
      <c r="D2" s="2"/>
      <c r="E2" s="2"/>
      <c r="F2" s="2"/>
    </row>
    <row r="3" customFormat="false" ht="21.75" hidden="false" customHeight="true" outlineLevel="0" collapsed="false">
      <c r="A3" s="3" t="s">
        <v>156</v>
      </c>
      <c r="B3" s="3"/>
      <c r="C3" s="3"/>
      <c r="D3" s="3"/>
      <c r="E3" s="3"/>
      <c r="F3" s="3"/>
    </row>
    <row r="4" customFormat="false" ht="21.75" hidden="false" customHeight="true" outlineLevel="0" collapsed="false">
      <c r="A4" s="4" t="s">
        <v>24</v>
      </c>
      <c r="B4" s="4" t="s">
        <v>157</v>
      </c>
      <c r="C4" s="4" t="s">
        <v>158</v>
      </c>
      <c r="D4" s="4" t="s">
        <v>159</v>
      </c>
      <c r="E4" s="4" t="s">
        <v>160</v>
      </c>
      <c r="F4" s="4" t="s">
        <v>161</v>
      </c>
    </row>
    <row r="5" customFormat="false" ht="21.75" hidden="false" customHeight="true" outlineLevel="0" collapsed="false">
      <c r="A5" s="5" t="s">
        <v>162</v>
      </c>
      <c r="B5" s="5"/>
      <c r="C5" s="5"/>
      <c r="D5" s="5"/>
      <c r="E5" s="5"/>
      <c r="F5" s="5"/>
    </row>
    <row r="6" customFormat="false" ht="75" hidden="false" customHeight="true" outlineLevel="0" collapsed="false">
      <c r="A6" s="8" t="s">
        <v>163</v>
      </c>
      <c r="B6" s="14" t="s">
        <v>164</v>
      </c>
      <c r="C6" s="15" t="s">
        <v>165</v>
      </c>
      <c r="D6" s="16" t="s">
        <v>166</v>
      </c>
      <c r="E6" s="17" t="s">
        <v>167</v>
      </c>
      <c r="F6" s="18" t="s">
        <v>168</v>
      </c>
    </row>
    <row r="7" customFormat="false" ht="75" hidden="false" customHeight="true" outlineLevel="0" collapsed="false">
      <c r="A7" s="11" t="s">
        <v>169</v>
      </c>
      <c r="B7" s="19" t="s">
        <v>170</v>
      </c>
      <c r="C7" s="15" t="s">
        <v>171</v>
      </c>
      <c r="D7" s="16" t="s">
        <v>172</v>
      </c>
      <c r="E7" s="17" t="s">
        <v>173</v>
      </c>
      <c r="F7" s="18" t="s">
        <v>174</v>
      </c>
    </row>
    <row r="8" customFormat="false" ht="75" hidden="false" customHeight="true" outlineLevel="0" collapsed="false">
      <c r="A8" s="8" t="s">
        <v>175</v>
      </c>
      <c r="B8" s="14" t="s">
        <v>176</v>
      </c>
      <c r="C8" s="15" t="s">
        <v>177</v>
      </c>
      <c r="D8" s="16" t="s">
        <v>178</v>
      </c>
      <c r="E8" s="17" t="s">
        <v>179</v>
      </c>
      <c r="F8" s="18" t="s">
        <v>180</v>
      </c>
    </row>
    <row r="9" customFormat="false" ht="75" hidden="false" customHeight="true" outlineLevel="0" collapsed="false">
      <c r="A9" s="11" t="s">
        <v>181</v>
      </c>
      <c r="B9" s="19" t="s">
        <v>182</v>
      </c>
      <c r="C9" s="15" t="s">
        <v>183</v>
      </c>
      <c r="D9" s="16" t="s">
        <v>184</v>
      </c>
      <c r="E9" s="17" t="s">
        <v>185</v>
      </c>
      <c r="F9" s="18" t="s">
        <v>186</v>
      </c>
    </row>
    <row r="10" customFormat="false" ht="21.75" hidden="false" customHeight="true" outlineLevel="0" collapsed="false">
      <c r="A10" s="5" t="s">
        <v>187</v>
      </c>
      <c r="B10" s="5"/>
      <c r="C10" s="5"/>
      <c r="D10" s="5"/>
      <c r="E10" s="5"/>
      <c r="F10" s="5"/>
    </row>
    <row r="11" customFormat="false" ht="75" hidden="false" customHeight="true" outlineLevel="0" collapsed="false">
      <c r="A11" s="11" t="s">
        <v>188</v>
      </c>
      <c r="B11" s="19" t="s">
        <v>189</v>
      </c>
      <c r="C11" s="15" t="s">
        <v>190</v>
      </c>
      <c r="D11" s="16" t="s">
        <v>191</v>
      </c>
      <c r="E11" s="17" t="s">
        <v>192</v>
      </c>
      <c r="F11" s="18" t="s">
        <v>193</v>
      </c>
    </row>
    <row r="12" customFormat="false" ht="75" hidden="false" customHeight="true" outlineLevel="0" collapsed="false">
      <c r="A12" s="8" t="s">
        <v>194</v>
      </c>
      <c r="B12" s="14" t="s">
        <v>195</v>
      </c>
      <c r="C12" s="15" t="s">
        <v>196</v>
      </c>
      <c r="D12" s="16" t="s">
        <v>197</v>
      </c>
      <c r="E12" s="17" t="s">
        <v>198</v>
      </c>
      <c r="F12" s="18" t="s">
        <v>199</v>
      </c>
    </row>
    <row r="13" customFormat="false" ht="21.75" hidden="false" customHeight="true" outlineLevel="0" collapsed="false">
      <c r="A13" s="5" t="s">
        <v>200</v>
      </c>
      <c r="B13" s="5"/>
      <c r="C13" s="5"/>
      <c r="D13" s="5"/>
      <c r="E13" s="5"/>
      <c r="F13" s="5"/>
    </row>
    <row r="14" customFormat="false" ht="75" hidden="false" customHeight="true" outlineLevel="0" collapsed="false">
      <c r="A14" s="8" t="s">
        <v>201</v>
      </c>
      <c r="B14" s="14" t="s">
        <v>202</v>
      </c>
      <c r="C14" s="15" t="s">
        <v>203</v>
      </c>
      <c r="D14" s="16" t="s">
        <v>204</v>
      </c>
      <c r="E14" s="17" t="s">
        <v>205</v>
      </c>
      <c r="F14" s="18" t="s">
        <v>206</v>
      </c>
    </row>
    <row r="15" customFormat="false" ht="75" hidden="false" customHeight="true" outlineLevel="0" collapsed="false">
      <c r="A15" s="11" t="s">
        <v>207</v>
      </c>
      <c r="B15" s="19" t="s">
        <v>208</v>
      </c>
      <c r="C15" s="15" t="s">
        <v>209</v>
      </c>
      <c r="D15" s="16" t="s">
        <v>210</v>
      </c>
      <c r="E15" s="17" t="s">
        <v>211</v>
      </c>
      <c r="F15" s="18" t="s">
        <v>212</v>
      </c>
    </row>
    <row r="16" customFormat="false" ht="21.75" hidden="false" customHeight="true" outlineLevel="0" collapsed="false">
      <c r="A16" s="5" t="s">
        <v>213</v>
      </c>
      <c r="B16" s="5"/>
      <c r="C16" s="5"/>
      <c r="D16" s="5"/>
      <c r="E16" s="5"/>
      <c r="F16" s="5"/>
    </row>
    <row r="17" customFormat="false" ht="75" hidden="false" customHeight="true" outlineLevel="0" collapsed="false">
      <c r="A17" s="11" t="s">
        <v>214</v>
      </c>
      <c r="B17" s="19" t="s">
        <v>215</v>
      </c>
      <c r="C17" s="15" t="s">
        <v>216</v>
      </c>
      <c r="D17" s="16" t="s">
        <v>217</v>
      </c>
      <c r="E17" s="17" t="s">
        <v>218</v>
      </c>
      <c r="F17" s="18" t="s">
        <v>219</v>
      </c>
    </row>
    <row r="18" customFormat="false" ht="21.75" hidden="false" customHeight="true" outlineLevel="0" collapsed="false">
      <c r="A18" s="5" t="s">
        <v>220</v>
      </c>
      <c r="B18" s="5"/>
      <c r="C18" s="5"/>
      <c r="D18" s="5"/>
      <c r="E18" s="5"/>
      <c r="F18" s="5"/>
    </row>
    <row r="19" customFormat="false" ht="75" hidden="false" customHeight="true" outlineLevel="0" collapsed="false">
      <c r="A19" s="11" t="s">
        <v>221</v>
      </c>
      <c r="B19" s="19" t="s">
        <v>222</v>
      </c>
      <c r="C19" s="15" t="s">
        <v>223</v>
      </c>
      <c r="D19" s="16" t="s">
        <v>224</v>
      </c>
      <c r="E19" s="17" t="s">
        <v>225</v>
      </c>
      <c r="F19" s="18" t="s">
        <v>226</v>
      </c>
    </row>
    <row r="20" customFormat="false" ht="21.75" hidden="false" customHeight="true" outlineLevel="0" collapsed="false">
      <c r="A20" s="5" t="s">
        <v>227</v>
      </c>
      <c r="B20" s="5"/>
      <c r="C20" s="5"/>
      <c r="D20" s="5"/>
      <c r="E20" s="5"/>
      <c r="F20" s="5"/>
    </row>
    <row r="21" customFormat="false" ht="75" hidden="false" customHeight="true" outlineLevel="0" collapsed="false">
      <c r="A21" s="11" t="s">
        <v>228</v>
      </c>
      <c r="B21" s="19" t="s">
        <v>229</v>
      </c>
      <c r="C21" s="15" t="s">
        <v>230</v>
      </c>
      <c r="D21" s="16" t="s">
        <v>231</v>
      </c>
      <c r="E21" s="17" t="s">
        <v>232</v>
      </c>
      <c r="F21" s="18" t="s">
        <v>233</v>
      </c>
    </row>
    <row r="22" customFormat="false" ht="75" hidden="false" customHeight="true" outlineLevel="0" collapsed="false">
      <c r="A22" s="8" t="s">
        <v>234</v>
      </c>
      <c r="B22" s="14" t="s">
        <v>235</v>
      </c>
      <c r="C22" s="15" t="s">
        <v>236</v>
      </c>
      <c r="D22" s="16" t="s">
        <v>237</v>
      </c>
      <c r="E22" s="17" t="s">
        <v>238</v>
      </c>
      <c r="F22" s="18" t="s">
        <v>239</v>
      </c>
    </row>
    <row r="24" customFormat="false" ht="21.75" hidden="false" customHeight="true" outlineLevel="0" collapsed="false">
      <c r="A24" s="3" t="s">
        <v>240</v>
      </c>
      <c r="B24" s="3"/>
      <c r="C24" s="3"/>
      <c r="D24" s="3"/>
      <c r="E24" s="3"/>
      <c r="F24" s="3"/>
    </row>
    <row r="25" customFormat="false" ht="19.5" hidden="false" customHeight="true" outlineLevel="0" collapsed="false">
      <c r="A25" s="4" t="s">
        <v>241</v>
      </c>
      <c r="B25" s="4" t="s">
        <v>242</v>
      </c>
      <c r="C25" s="4" t="s">
        <v>243</v>
      </c>
      <c r="D25" s="4" t="s">
        <v>244</v>
      </c>
      <c r="E25" s="4"/>
      <c r="F25" s="4"/>
    </row>
    <row r="26" customFormat="false" ht="31.5" hidden="false" customHeight="true" outlineLevel="0" collapsed="false">
      <c r="A26" s="10" t="s">
        <v>245</v>
      </c>
      <c r="B26" s="10" t="s">
        <v>246</v>
      </c>
      <c r="C26" s="9" t="s">
        <v>247</v>
      </c>
      <c r="D26" s="9" t="s">
        <v>248</v>
      </c>
      <c r="E26" s="9"/>
      <c r="F26" s="9"/>
    </row>
    <row r="27" customFormat="false" ht="31.5" hidden="false" customHeight="true" outlineLevel="0" collapsed="false">
      <c r="A27" s="13" t="s">
        <v>249</v>
      </c>
      <c r="B27" s="13" t="s">
        <v>128</v>
      </c>
      <c r="C27" s="12" t="s">
        <v>250</v>
      </c>
      <c r="D27" s="12" t="s">
        <v>251</v>
      </c>
      <c r="E27" s="12"/>
      <c r="F27" s="12"/>
    </row>
    <row r="28" customFormat="false" ht="31.5" hidden="false" customHeight="true" outlineLevel="0" collapsed="false">
      <c r="A28" s="10" t="s">
        <v>252</v>
      </c>
      <c r="B28" s="10" t="s">
        <v>139</v>
      </c>
      <c r="C28" s="9" t="s">
        <v>253</v>
      </c>
      <c r="D28" s="9" t="s">
        <v>254</v>
      </c>
      <c r="E28" s="9"/>
      <c r="F28" s="9"/>
    </row>
    <row r="29" customFormat="false" ht="31.5" hidden="false" customHeight="true" outlineLevel="0" collapsed="false">
      <c r="A29" s="13" t="s">
        <v>255</v>
      </c>
      <c r="B29" s="13" t="s">
        <v>139</v>
      </c>
      <c r="C29" s="12" t="s">
        <v>256</v>
      </c>
      <c r="D29" s="12" t="s">
        <v>257</v>
      </c>
      <c r="E29" s="12"/>
      <c r="F29" s="12"/>
    </row>
    <row r="30" customFormat="false" ht="31.5" hidden="false" customHeight="true" outlineLevel="0" collapsed="false">
      <c r="A30" s="10" t="s">
        <v>258</v>
      </c>
      <c r="B30" s="10" t="s">
        <v>145</v>
      </c>
      <c r="C30" s="9" t="s">
        <v>253</v>
      </c>
      <c r="D30" s="9" t="s">
        <v>259</v>
      </c>
      <c r="E30" s="9"/>
      <c r="F30" s="9"/>
    </row>
    <row r="31" customFormat="false" ht="31.5" hidden="false" customHeight="true" outlineLevel="0" collapsed="false">
      <c r="A31" s="13" t="s">
        <v>260</v>
      </c>
      <c r="B31" s="13" t="s">
        <v>145</v>
      </c>
      <c r="C31" s="12" t="s">
        <v>253</v>
      </c>
      <c r="D31" s="12" t="s">
        <v>261</v>
      </c>
      <c r="E31" s="12"/>
      <c r="F31" s="12"/>
    </row>
    <row r="32" customFormat="false" ht="31.5" hidden="false" customHeight="true" outlineLevel="0" collapsed="false">
      <c r="A32" s="20" t="s">
        <v>262</v>
      </c>
      <c r="B32" s="20" t="s">
        <v>263</v>
      </c>
      <c r="C32" s="21" t="s">
        <v>264</v>
      </c>
      <c r="D32" s="21" t="s">
        <v>265</v>
      </c>
      <c r="E32" s="21"/>
      <c r="F32" s="21"/>
    </row>
  </sheetData>
  <mergeCells count="10">
    <mergeCell ref="A1:F1"/>
    <mergeCell ref="A2:F2"/>
    <mergeCell ref="A3:F3"/>
    <mergeCell ref="A5:F5"/>
    <mergeCell ref="A10:F10"/>
    <mergeCell ref="A13:F13"/>
    <mergeCell ref="A16:F16"/>
    <mergeCell ref="A18:F18"/>
    <mergeCell ref="A20:F20"/>
    <mergeCell ref="A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0"/>
    <col collapsed="false" customWidth="true" hidden="false" outlineLevel="0" max="3" min="3" style="0" width="38"/>
    <col collapsed="false" customWidth="true" hidden="false" outlineLevel="0" max="5" min="4" style="0" width="12"/>
  </cols>
  <sheetData>
    <row r="1" customFormat="false" ht="39.75" hidden="false" customHeight="true" outlineLevel="0" collapsed="false">
      <c r="A1" s="1" t="s">
        <v>266</v>
      </c>
      <c r="B1" s="1"/>
      <c r="C1" s="1"/>
      <c r="D1" s="1"/>
      <c r="E1" s="1"/>
    </row>
    <row r="2" customFormat="false" ht="24" hidden="false" customHeight="true" outlineLevel="0" collapsed="false">
      <c r="A2" s="2" t="s">
        <v>267</v>
      </c>
      <c r="B2" s="2"/>
      <c r="C2" s="2"/>
      <c r="D2" s="2"/>
      <c r="E2" s="2"/>
    </row>
    <row r="3" customFormat="false" ht="21.75" hidden="false" customHeight="true" outlineLevel="0" collapsed="false">
      <c r="A3" s="3" t="s">
        <v>268</v>
      </c>
      <c r="B3" s="3"/>
      <c r="C3" s="3"/>
      <c r="D3" s="3"/>
      <c r="E3" s="3"/>
    </row>
    <row r="4" customFormat="false" ht="19.5" hidden="false" customHeight="true" outlineLevel="0" collapsed="false">
      <c r="A4" s="4" t="s">
        <v>24</v>
      </c>
      <c r="B4" s="4" t="s">
        <v>269</v>
      </c>
      <c r="C4" s="4" t="s">
        <v>270</v>
      </c>
      <c r="D4" s="4" t="s">
        <v>271</v>
      </c>
      <c r="E4" s="4" t="s">
        <v>244</v>
      </c>
    </row>
    <row r="5" customFormat="false" ht="75" hidden="false" customHeight="true" outlineLevel="0" collapsed="false">
      <c r="A5" s="11" t="s">
        <v>272</v>
      </c>
      <c r="B5" s="12" t="s">
        <v>273</v>
      </c>
      <c r="C5" s="22" t="s">
        <v>274</v>
      </c>
      <c r="D5" s="13" t="s">
        <v>275</v>
      </c>
      <c r="E5" s="12"/>
    </row>
    <row r="6" customFormat="false" ht="75" hidden="false" customHeight="true" outlineLevel="0" collapsed="false">
      <c r="A6" s="8" t="s">
        <v>276</v>
      </c>
      <c r="B6" s="9" t="s">
        <v>277</v>
      </c>
      <c r="C6" s="22" t="s">
        <v>278</v>
      </c>
      <c r="D6" s="10" t="s">
        <v>275</v>
      </c>
      <c r="E6" s="9"/>
    </row>
    <row r="7" customFormat="false" ht="75" hidden="false" customHeight="true" outlineLevel="0" collapsed="false">
      <c r="A7" s="11" t="s">
        <v>279</v>
      </c>
      <c r="B7" s="12" t="s">
        <v>280</v>
      </c>
      <c r="C7" s="22" t="s">
        <v>281</v>
      </c>
      <c r="D7" s="13" t="s">
        <v>275</v>
      </c>
      <c r="E7" s="12"/>
    </row>
    <row r="8" customFormat="false" ht="75" hidden="false" customHeight="true" outlineLevel="0" collapsed="false">
      <c r="A8" s="8" t="s">
        <v>282</v>
      </c>
      <c r="B8" s="9" t="s">
        <v>283</v>
      </c>
      <c r="C8" s="22" t="s">
        <v>284</v>
      </c>
      <c r="D8" s="10" t="s">
        <v>275</v>
      </c>
      <c r="E8" s="9"/>
    </row>
    <row r="9" customFormat="false" ht="21.75" hidden="false" customHeight="true" outlineLevel="0" collapsed="false">
      <c r="A9" s="3" t="s">
        <v>285</v>
      </c>
      <c r="B9" s="3"/>
      <c r="C9" s="3"/>
      <c r="D9" s="3"/>
      <c r="E9" s="3"/>
    </row>
    <row r="10" customFormat="false" ht="19.5" hidden="false" customHeight="true" outlineLevel="0" collapsed="false">
      <c r="A10" s="4" t="s">
        <v>24</v>
      </c>
      <c r="B10" s="4" t="s">
        <v>269</v>
      </c>
      <c r="C10" s="4" t="s">
        <v>270</v>
      </c>
      <c r="D10" s="4" t="s">
        <v>271</v>
      </c>
      <c r="E10" s="4" t="s">
        <v>244</v>
      </c>
    </row>
    <row r="11" customFormat="false" ht="75" hidden="false" customHeight="true" outlineLevel="0" collapsed="false">
      <c r="A11" s="11" t="s">
        <v>286</v>
      </c>
      <c r="B11" s="12" t="s">
        <v>287</v>
      </c>
      <c r="C11" s="22" t="s">
        <v>288</v>
      </c>
      <c r="D11" s="13" t="s">
        <v>275</v>
      </c>
      <c r="E11" s="12"/>
    </row>
    <row r="12" customFormat="false" ht="75" hidden="false" customHeight="true" outlineLevel="0" collapsed="false">
      <c r="A12" s="8" t="s">
        <v>289</v>
      </c>
      <c r="B12" s="9" t="s">
        <v>290</v>
      </c>
      <c r="C12" s="22" t="s">
        <v>291</v>
      </c>
      <c r="D12" s="10" t="s">
        <v>275</v>
      </c>
      <c r="E12" s="9"/>
    </row>
    <row r="13" customFormat="false" ht="75" hidden="false" customHeight="true" outlineLevel="0" collapsed="false">
      <c r="A13" s="11" t="s">
        <v>292</v>
      </c>
      <c r="B13" s="12" t="s">
        <v>293</v>
      </c>
      <c r="C13" s="22" t="s">
        <v>294</v>
      </c>
      <c r="D13" s="13" t="s">
        <v>275</v>
      </c>
      <c r="E13" s="12"/>
    </row>
    <row r="14" customFormat="false" ht="21.75" hidden="false" customHeight="true" outlineLevel="0" collapsed="false">
      <c r="A14" s="3" t="s">
        <v>295</v>
      </c>
      <c r="B14" s="3"/>
      <c r="C14" s="3"/>
      <c r="D14" s="3"/>
      <c r="E14" s="3"/>
    </row>
    <row r="15" customFormat="false" ht="19.5" hidden="false" customHeight="true" outlineLevel="0" collapsed="false">
      <c r="A15" s="4" t="s">
        <v>24</v>
      </c>
      <c r="B15" s="4" t="s">
        <v>269</v>
      </c>
      <c r="C15" s="4" t="s">
        <v>270</v>
      </c>
      <c r="D15" s="4" t="s">
        <v>271</v>
      </c>
      <c r="E15" s="4" t="s">
        <v>244</v>
      </c>
    </row>
    <row r="16" customFormat="false" ht="75" hidden="false" customHeight="true" outlineLevel="0" collapsed="false">
      <c r="A16" s="8" t="s">
        <v>296</v>
      </c>
      <c r="B16" s="9" t="s">
        <v>297</v>
      </c>
      <c r="C16" s="22" t="s">
        <v>298</v>
      </c>
      <c r="D16" s="10" t="s">
        <v>275</v>
      </c>
      <c r="E16" s="9"/>
    </row>
    <row r="17" customFormat="false" ht="75" hidden="false" customHeight="true" outlineLevel="0" collapsed="false">
      <c r="A17" s="11" t="s">
        <v>299</v>
      </c>
      <c r="B17" s="12" t="s">
        <v>300</v>
      </c>
      <c r="C17" s="22" t="s">
        <v>301</v>
      </c>
      <c r="D17" s="13" t="s">
        <v>275</v>
      </c>
      <c r="E17" s="12"/>
    </row>
    <row r="18" customFormat="false" ht="21.75" hidden="false" customHeight="true" outlineLevel="0" collapsed="false">
      <c r="A18" s="3" t="s">
        <v>302</v>
      </c>
      <c r="B18" s="3"/>
      <c r="C18" s="3"/>
      <c r="D18" s="3"/>
      <c r="E18" s="3"/>
    </row>
    <row r="19" customFormat="false" ht="19.5" hidden="false" customHeight="true" outlineLevel="0" collapsed="false">
      <c r="A19" s="4" t="s">
        <v>24</v>
      </c>
      <c r="B19" s="4" t="s">
        <v>269</v>
      </c>
      <c r="C19" s="4" t="s">
        <v>270</v>
      </c>
      <c r="D19" s="4" t="s">
        <v>271</v>
      </c>
      <c r="E19" s="4" t="s">
        <v>244</v>
      </c>
    </row>
    <row r="20" customFormat="false" ht="75" hidden="false" customHeight="true" outlineLevel="0" collapsed="false">
      <c r="A20" s="8" t="s">
        <v>303</v>
      </c>
      <c r="B20" s="9" t="s">
        <v>304</v>
      </c>
      <c r="C20" s="22" t="s">
        <v>305</v>
      </c>
      <c r="D20" s="10" t="s">
        <v>275</v>
      </c>
      <c r="E20" s="9"/>
    </row>
    <row r="21" customFormat="false" ht="75" hidden="false" customHeight="true" outlineLevel="0" collapsed="false">
      <c r="A21" s="11" t="s">
        <v>306</v>
      </c>
      <c r="B21" s="12" t="s">
        <v>307</v>
      </c>
      <c r="C21" s="22" t="s">
        <v>308</v>
      </c>
      <c r="D21" s="13" t="s">
        <v>275</v>
      </c>
      <c r="E21" s="12"/>
    </row>
  </sheetData>
  <mergeCells count="6">
    <mergeCell ref="A1:E1"/>
    <mergeCell ref="A2:E2"/>
    <mergeCell ref="A3:E3"/>
    <mergeCell ref="A9:E9"/>
    <mergeCell ref="A14:E14"/>
    <mergeCell ref="A18:E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14"/>
    <col collapsed="false" customWidth="true" hidden="false" outlineLevel="0" max="4" min="4" style="0" width="16"/>
    <col collapsed="false" customWidth="true" hidden="false" outlineLevel="0" max="5" min="5" style="0" width="18"/>
    <col collapsed="false" customWidth="true" hidden="false" outlineLevel="0" max="6" min="6" style="0" width="28"/>
  </cols>
  <sheetData>
    <row r="1" customFormat="false" ht="39.75" hidden="false" customHeight="true" outlineLevel="0" collapsed="false">
      <c r="A1" s="1" t="s">
        <v>309</v>
      </c>
      <c r="B1" s="1"/>
      <c r="C1" s="1"/>
      <c r="D1" s="1"/>
      <c r="E1" s="1"/>
      <c r="F1" s="1"/>
    </row>
    <row r="2" customFormat="false" ht="24" hidden="false" customHeight="true" outlineLevel="0" collapsed="false">
      <c r="A2" s="2" t="s">
        <v>310</v>
      </c>
      <c r="B2" s="2"/>
      <c r="C2" s="2"/>
      <c r="D2" s="2"/>
      <c r="E2" s="2"/>
      <c r="F2" s="2"/>
    </row>
    <row r="3" customFormat="false" ht="21.75" hidden="false" customHeight="true" outlineLevel="0" collapsed="false">
      <c r="A3" s="3" t="s">
        <v>311</v>
      </c>
      <c r="B3" s="3"/>
      <c r="C3" s="3"/>
      <c r="D3" s="3"/>
      <c r="E3" s="3"/>
      <c r="F3" s="3"/>
    </row>
    <row r="4" customFormat="false" ht="25.5" hidden="false" customHeight="true" outlineLevel="0" collapsed="false">
      <c r="A4" s="14" t="s">
        <v>312</v>
      </c>
      <c r="B4" s="6" t="s">
        <v>313</v>
      </c>
      <c r="C4" s="14" t="s">
        <v>314</v>
      </c>
      <c r="D4" s="6" t="s">
        <v>315</v>
      </c>
      <c r="E4" s="14"/>
      <c r="F4" s="6"/>
    </row>
    <row r="5" customFormat="false" ht="25.5" hidden="false" customHeight="true" outlineLevel="0" collapsed="false">
      <c r="A5" s="14" t="s">
        <v>316</v>
      </c>
      <c r="B5" s="6" t="s">
        <v>313</v>
      </c>
      <c r="C5" s="14" t="s">
        <v>317</v>
      </c>
      <c r="D5" s="6" t="s">
        <v>315</v>
      </c>
      <c r="E5" s="14"/>
      <c r="F5" s="6"/>
    </row>
    <row r="6" customFormat="false" ht="25.5" hidden="false" customHeight="true" outlineLevel="0" collapsed="false">
      <c r="A6" s="14" t="s">
        <v>318</v>
      </c>
      <c r="B6" s="6" t="s">
        <v>319</v>
      </c>
      <c r="C6" s="14" t="s">
        <v>320</v>
      </c>
      <c r="D6" s="6" t="s">
        <v>321</v>
      </c>
      <c r="E6" s="14"/>
      <c r="F6" s="6"/>
    </row>
    <row r="8" customFormat="false" ht="21.75" hidden="false" customHeight="true" outlineLevel="0" collapsed="false">
      <c r="A8" s="3" t="s">
        <v>322</v>
      </c>
      <c r="B8" s="3"/>
      <c r="C8" s="3"/>
      <c r="D8" s="3"/>
      <c r="E8" s="3"/>
      <c r="F8" s="3"/>
    </row>
    <row r="9" customFormat="false" ht="21.75" hidden="false" customHeight="true" outlineLevel="0" collapsed="false">
      <c r="A9" s="4" t="s">
        <v>323</v>
      </c>
      <c r="B9" s="4" t="s">
        <v>116</v>
      </c>
      <c r="C9" s="4" t="s">
        <v>324</v>
      </c>
      <c r="D9" s="4" t="s">
        <v>325</v>
      </c>
      <c r="E9" s="4" t="s">
        <v>326</v>
      </c>
      <c r="F9" s="4" t="s">
        <v>327</v>
      </c>
    </row>
    <row r="10" customFormat="false" ht="31.5" hidden="false" customHeight="true" outlineLevel="0" collapsed="false">
      <c r="A10" s="14" t="s">
        <v>328</v>
      </c>
      <c r="B10" s="10" t="s">
        <v>246</v>
      </c>
      <c r="C10" s="23"/>
      <c r="D10" s="24" t="str">
        <f aca="false">IF(C10="","",C10*0.3)</f>
        <v/>
      </c>
      <c r="E10" s="10"/>
      <c r="F10" s="9"/>
    </row>
    <row r="11" customFormat="false" ht="31.5" hidden="false" customHeight="true" outlineLevel="0" collapsed="false">
      <c r="A11" s="19" t="s">
        <v>249</v>
      </c>
      <c r="B11" s="13" t="s">
        <v>128</v>
      </c>
      <c r="C11" s="23"/>
      <c r="D11" s="24" t="str">
        <f aca="false">IF(C11="","",C11*0.2)</f>
        <v/>
      </c>
      <c r="E11" s="13"/>
      <c r="F11" s="12"/>
    </row>
    <row r="12" customFormat="false" ht="31.5" hidden="false" customHeight="true" outlineLevel="0" collapsed="false">
      <c r="A12" s="14" t="s">
        <v>252</v>
      </c>
      <c r="B12" s="10" t="s">
        <v>139</v>
      </c>
      <c r="C12" s="23"/>
      <c r="D12" s="24" t="str">
        <f aca="false">IF(C12="","",C12*0.15)</f>
        <v/>
      </c>
      <c r="E12" s="10"/>
      <c r="F12" s="9"/>
    </row>
    <row r="13" customFormat="false" ht="31.5" hidden="false" customHeight="true" outlineLevel="0" collapsed="false">
      <c r="A13" s="19" t="s">
        <v>255</v>
      </c>
      <c r="B13" s="13" t="s">
        <v>139</v>
      </c>
      <c r="C13" s="23"/>
      <c r="D13" s="24" t="str">
        <f aca="false">IF(C13="","",C13*0.15)</f>
        <v/>
      </c>
      <c r="E13" s="13"/>
      <c r="F13" s="12"/>
    </row>
    <row r="14" customFormat="false" ht="31.5" hidden="false" customHeight="true" outlineLevel="0" collapsed="false">
      <c r="A14" s="14" t="s">
        <v>258</v>
      </c>
      <c r="B14" s="10" t="s">
        <v>145</v>
      </c>
      <c r="C14" s="23"/>
      <c r="D14" s="24" t="str">
        <f aca="false">IF(C14="","",C14*0.1)</f>
        <v/>
      </c>
      <c r="E14" s="10"/>
      <c r="F14" s="9"/>
    </row>
    <row r="15" customFormat="false" ht="31.5" hidden="false" customHeight="true" outlineLevel="0" collapsed="false">
      <c r="A15" s="19" t="s">
        <v>260</v>
      </c>
      <c r="B15" s="13" t="s">
        <v>145</v>
      </c>
      <c r="C15" s="23"/>
      <c r="D15" s="24" t="str">
        <f aca="false">IF(C15="","",C15*0.1)</f>
        <v/>
      </c>
      <c r="E15" s="13"/>
      <c r="F15" s="12"/>
    </row>
    <row r="16" customFormat="false" ht="30" hidden="false" customHeight="true" outlineLevel="0" collapsed="false">
      <c r="A16" s="3" t="s">
        <v>329</v>
      </c>
      <c r="B16" s="3"/>
      <c r="C16" s="20"/>
      <c r="D16" s="25" t="n">
        <f aca="false">SUM(D10:D15)</f>
        <v>0</v>
      </c>
      <c r="E16" s="20"/>
      <c r="F16" s="16" t="s">
        <v>330</v>
      </c>
    </row>
    <row r="18" customFormat="false" ht="21.75" hidden="false" customHeight="true" outlineLevel="0" collapsed="false">
      <c r="A18" s="3" t="s">
        <v>331</v>
      </c>
      <c r="B18" s="3"/>
      <c r="C18" s="3"/>
      <c r="D18" s="3"/>
      <c r="E18" s="3"/>
      <c r="F18" s="3"/>
    </row>
    <row r="19" customFormat="false" ht="19.5" hidden="false" customHeight="true" outlineLevel="0" collapsed="false">
      <c r="A19" s="4" t="s">
        <v>332</v>
      </c>
      <c r="B19" s="4" t="s">
        <v>333</v>
      </c>
      <c r="C19" s="4" t="s">
        <v>334</v>
      </c>
      <c r="D19" s="4"/>
      <c r="E19" s="4"/>
      <c r="F19" s="4"/>
    </row>
    <row r="20" customFormat="false" ht="34.5" hidden="false" customHeight="true" outlineLevel="0" collapsed="false">
      <c r="A20" s="15" t="s">
        <v>335</v>
      </c>
      <c r="B20" s="26" t="s">
        <v>336</v>
      </c>
      <c r="C20" s="15" t="s">
        <v>337</v>
      </c>
      <c r="D20" s="15"/>
      <c r="E20" s="15"/>
      <c r="F20" s="15"/>
    </row>
    <row r="21" customFormat="false" ht="34.5" hidden="false" customHeight="true" outlineLevel="0" collapsed="false">
      <c r="A21" s="15" t="s">
        <v>338</v>
      </c>
      <c r="B21" s="26" t="s">
        <v>336</v>
      </c>
      <c r="C21" s="15" t="s">
        <v>339</v>
      </c>
      <c r="D21" s="15"/>
      <c r="E21" s="15"/>
      <c r="F21" s="15"/>
    </row>
    <row r="22" customFormat="false" ht="34.5" hidden="false" customHeight="true" outlineLevel="0" collapsed="false">
      <c r="A22" s="15" t="s">
        <v>340</v>
      </c>
      <c r="B22" s="26" t="s">
        <v>336</v>
      </c>
      <c r="C22" s="15" t="s">
        <v>341</v>
      </c>
      <c r="D22" s="15"/>
      <c r="E22" s="15"/>
      <c r="F22" s="15"/>
    </row>
    <row r="23" customFormat="false" ht="34.5" hidden="false" customHeight="true" outlineLevel="0" collapsed="false">
      <c r="A23" s="15" t="s">
        <v>342</v>
      </c>
      <c r="B23" s="26" t="s">
        <v>343</v>
      </c>
      <c r="C23" s="15" t="s">
        <v>344</v>
      </c>
      <c r="D23" s="15"/>
      <c r="E23" s="15"/>
      <c r="F23" s="15"/>
    </row>
    <row r="24" customFormat="false" ht="34.5" hidden="false" customHeight="true" outlineLevel="0" collapsed="false">
      <c r="A24" s="15" t="s">
        <v>345</v>
      </c>
      <c r="B24" s="26" t="s">
        <v>336</v>
      </c>
      <c r="C24" s="15" t="s">
        <v>346</v>
      </c>
      <c r="D24" s="15"/>
      <c r="E24" s="15"/>
      <c r="F24" s="15"/>
    </row>
    <row r="26" customFormat="false" ht="21.75" hidden="false" customHeight="true" outlineLevel="0" collapsed="false">
      <c r="A26" s="3" t="s">
        <v>347</v>
      </c>
      <c r="B26" s="3"/>
      <c r="C26" s="3"/>
      <c r="D26" s="3"/>
      <c r="E26" s="3"/>
      <c r="F26" s="3"/>
    </row>
    <row r="27" customFormat="false" ht="19.5" hidden="false" customHeight="true" outlineLevel="0" collapsed="false">
      <c r="A27" s="4" t="s">
        <v>348</v>
      </c>
      <c r="B27" s="4" t="s">
        <v>349</v>
      </c>
      <c r="C27" s="4"/>
      <c r="D27" s="4"/>
      <c r="E27" s="4"/>
      <c r="F27" s="4"/>
    </row>
    <row r="28" customFormat="false" ht="31.5" hidden="false" customHeight="true" outlineLevel="0" collapsed="false">
      <c r="A28" s="27" t="s">
        <v>350</v>
      </c>
      <c r="B28" s="17" t="s">
        <v>351</v>
      </c>
      <c r="C28" s="17"/>
      <c r="D28" s="17"/>
      <c r="E28" s="17"/>
      <c r="F28" s="17"/>
    </row>
    <row r="29" customFormat="false" ht="31.5" hidden="false" customHeight="true" outlineLevel="0" collapsed="false">
      <c r="A29" s="20" t="s">
        <v>352</v>
      </c>
      <c r="B29" s="16" t="s">
        <v>353</v>
      </c>
      <c r="C29" s="16"/>
      <c r="D29" s="16"/>
      <c r="E29" s="16"/>
      <c r="F29" s="16"/>
    </row>
    <row r="30" customFormat="false" ht="31.5" hidden="false" customHeight="true" outlineLevel="0" collapsed="false">
      <c r="A30" s="26" t="s">
        <v>354</v>
      </c>
      <c r="B30" s="15" t="s">
        <v>355</v>
      </c>
      <c r="C30" s="15"/>
      <c r="D30" s="15"/>
      <c r="E30" s="15"/>
      <c r="F30" s="15"/>
    </row>
    <row r="32" customFormat="false" ht="49.5" hidden="false" customHeight="true" outlineLevel="0" collapsed="false">
      <c r="A32" s="6" t="s">
        <v>356</v>
      </c>
      <c r="B32" s="6"/>
      <c r="C32" s="6"/>
      <c r="D32" s="6"/>
      <c r="E32" s="6"/>
      <c r="F32" s="6"/>
    </row>
  </sheetData>
  <mergeCells count="17">
    <mergeCell ref="A1:F1"/>
    <mergeCell ref="A2:F2"/>
    <mergeCell ref="A3:F3"/>
    <mergeCell ref="A8:F8"/>
    <mergeCell ref="A16:B16"/>
    <mergeCell ref="A18:F18"/>
    <mergeCell ref="C19:F19"/>
    <mergeCell ref="C20:F20"/>
    <mergeCell ref="C21:F21"/>
    <mergeCell ref="C22:F22"/>
    <mergeCell ref="C23:F23"/>
    <mergeCell ref="C24:F24"/>
    <mergeCell ref="A26:F26"/>
    <mergeCell ref="B28:F28"/>
    <mergeCell ref="B29:F29"/>
    <mergeCell ref="B30:F30"/>
    <mergeCell ref="A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55"/>
    <col collapsed="false" customWidth="true" hidden="false" outlineLevel="0" max="4" min="4" style="0" width="18"/>
    <col collapsed="false" customWidth="true" hidden="false" outlineLevel="0" max="5" min="5" style="0" width="12"/>
  </cols>
  <sheetData>
    <row r="1" customFormat="false" ht="39.75" hidden="false" customHeight="true" outlineLevel="0" collapsed="false">
      <c r="A1" s="1" t="s">
        <v>357</v>
      </c>
      <c r="B1" s="1"/>
      <c r="C1" s="1"/>
      <c r="D1" s="1"/>
      <c r="E1" s="1"/>
    </row>
    <row r="2" customFormat="false" ht="24" hidden="false" customHeight="true" outlineLevel="0" collapsed="false">
      <c r="A2" s="2" t="s">
        <v>358</v>
      </c>
      <c r="B2" s="2"/>
      <c r="C2" s="2"/>
      <c r="D2" s="2"/>
      <c r="E2" s="2"/>
    </row>
    <row r="3" customFormat="false" ht="21.75" hidden="false" customHeight="true" outlineLevel="0" collapsed="false">
      <c r="A3" s="3" t="s">
        <v>359</v>
      </c>
      <c r="B3" s="3"/>
      <c r="C3" s="3"/>
      <c r="D3" s="3"/>
      <c r="E3" s="3"/>
    </row>
    <row r="4" customFormat="false" ht="19.5" hidden="false" customHeight="true" outlineLevel="0" collapsed="false">
      <c r="A4" s="4" t="s">
        <v>360</v>
      </c>
      <c r="B4" s="4" t="s">
        <v>361</v>
      </c>
      <c r="C4" s="4" t="s">
        <v>362</v>
      </c>
      <c r="D4" s="4" t="s">
        <v>363</v>
      </c>
      <c r="E4" s="4" t="s">
        <v>364</v>
      </c>
    </row>
    <row r="5" customFormat="false" ht="75" hidden="false" customHeight="true" outlineLevel="0" collapsed="false">
      <c r="A5" s="28" t="s">
        <v>365</v>
      </c>
      <c r="B5" s="19" t="s">
        <v>366</v>
      </c>
      <c r="C5" s="12" t="s">
        <v>367</v>
      </c>
      <c r="D5" s="12" t="s">
        <v>368</v>
      </c>
      <c r="E5" s="29" t="s">
        <v>369</v>
      </c>
    </row>
    <row r="6" customFormat="false" ht="75" hidden="false" customHeight="true" outlineLevel="0" collapsed="false">
      <c r="A6" s="30" t="s">
        <v>370</v>
      </c>
      <c r="B6" s="14" t="s">
        <v>371</v>
      </c>
      <c r="C6" s="9" t="s">
        <v>372</v>
      </c>
      <c r="D6" s="9" t="s">
        <v>373</v>
      </c>
      <c r="E6" s="31" t="s">
        <v>369</v>
      </c>
    </row>
    <row r="7" customFormat="false" ht="75" hidden="false" customHeight="true" outlineLevel="0" collapsed="false">
      <c r="A7" s="28" t="s">
        <v>374</v>
      </c>
      <c r="B7" s="19" t="s">
        <v>375</v>
      </c>
      <c r="C7" s="12" t="s">
        <v>376</v>
      </c>
      <c r="D7" s="12" t="s">
        <v>377</v>
      </c>
      <c r="E7" s="29" t="s">
        <v>369</v>
      </c>
    </row>
    <row r="8" customFormat="false" ht="75" hidden="false" customHeight="true" outlineLevel="0" collapsed="false">
      <c r="A8" s="30" t="s">
        <v>378</v>
      </c>
      <c r="B8" s="14" t="s">
        <v>379</v>
      </c>
      <c r="C8" s="9" t="s">
        <v>380</v>
      </c>
      <c r="D8" s="9" t="s">
        <v>381</v>
      </c>
      <c r="E8" s="31" t="s">
        <v>369</v>
      </c>
    </row>
    <row r="10" customFormat="false" ht="21.75" hidden="false" customHeight="true" outlineLevel="0" collapsed="false">
      <c r="A10" s="3" t="s">
        <v>382</v>
      </c>
      <c r="B10" s="3"/>
      <c r="C10" s="3"/>
      <c r="D10" s="3"/>
      <c r="E10" s="3"/>
    </row>
    <row r="11" customFormat="false" ht="19.5" hidden="false" customHeight="true" outlineLevel="0" collapsed="false">
      <c r="A11" s="4" t="s">
        <v>360</v>
      </c>
      <c r="B11" s="4" t="s">
        <v>361</v>
      </c>
      <c r="C11" s="4" t="s">
        <v>362</v>
      </c>
      <c r="D11" s="4" t="s">
        <v>363</v>
      </c>
      <c r="E11" s="4" t="s">
        <v>364</v>
      </c>
    </row>
    <row r="12" customFormat="false" ht="75" hidden="false" customHeight="true" outlineLevel="0" collapsed="false">
      <c r="A12" s="30" t="s">
        <v>383</v>
      </c>
      <c r="B12" s="14" t="s">
        <v>384</v>
      </c>
      <c r="C12" s="9" t="s">
        <v>385</v>
      </c>
      <c r="D12" s="9" t="s">
        <v>386</v>
      </c>
      <c r="E12" s="31" t="s">
        <v>369</v>
      </c>
    </row>
    <row r="13" customFormat="false" ht="75" hidden="false" customHeight="true" outlineLevel="0" collapsed="false">
      <c r="A13" s="28" t="s">
        <v>387</v>
      </c>
      <c r="B13" s="19" t="s">
        <v>388</v>
      </c>
      <c r="C13" s="12" t="s">
        <v>389</v>
      </c>
      <c r="D13" s="12" t="s">
        <v>390</v>
      </c>
      <c r="E13" s="29" t="s">
        <v>369</v>
      </c>
    </row>
    <row r="14" customFormat="false" ht="75" hidden="false" customHeight="true" outlineLevel="0" collapsed="false">
      <c r="A14" s="30" t="s">
        <v>391</v>
      </c>
      <c r="B14" s="14" t="s">
        <v>392</v>
      </c>
      <c r="C14" s="9" t="s">
        <v>393</v>
      </c>
      <c r="D14" s="9" t="s">
        <v>394</v>
      </c>
      <c r="E14" s="31" t="s">
        <v>369</v>
      </c>
    </row>
    <row r="15" customFormat="false" ht="75" hidden="false" customHeight="true" outlineLevel="0" collapsed="false">
      <c r="A15" s="28" t="s">
        <v>395</v>
      </c>
      <c r="B15" s="19" t="s">
        <v>396</v>
      </c>
      <c r="C15" s="12" t="s">
        <v>397</v>
      </c>
      <c r="D15" s="12" t="s">
        <v>398</v>
      </c>
      <c r="E15" s="29" t="s">
        <v>369</v>
      </c>
    </row>
    <row r="17" customFormat="false" ht="21.75" hidden="false" customHeight="true" outlineLevel="0" collapsed="false">
      <c r="A17" s="3" t="s">
        <v>399</v>
      </c>
      <c r="B17" s="3"/>
      <c r="C17" s="3"/>
      <c r="D17" s="3"/>
      <c r="E17" s="3"/>
    </row>
    <row r="18" customFormat="false" ht="19.5" hidden="false" customHeight="true" outlineLevel="0" collapsed="false">
      <c r="A18" s="4" t="s">
        <v>360</v>
      </c>
      <c r="B18" s="4" t="s">
        <v>361</v>
      </c>
      <c r="C18" s="4" t="s">
        <v>362</v>
      </c>
      <c r="D18" s="4" t="s">
        <v>363</v>
      </c>
      <c r="E18" s="4" t="s">
        <v>364</v>
      </c>
    </row>
    <row r="19" customFormat="false" ht="75" hidden="false" customHeight="true" outlineLevel="0" collapsed="false">
      <c r="A19" s="28" t="s">
        <v>400</v>
      </c>
      <c r="B19" s="19" t="s">
        <v>401</v>
      </c>
      <c r="C19" s="12" t="s">
        <v>402</v>
      </c>
      <c r="D19" s="12" t="s">
        <v>403</v>
      </c>
      <c r="E19" s="29" t="s">
        <v>369</v>
      </c>
    </row>
    <row r="20" customFormat="false" ht="75" hidden="false" customHeight="true" outlineLevel="0" collapsed="false">
      <c r="A20" s="30" t="s">
        <v>404</v>
      </c>
      <c r="B20" s="14" t="s">
        <v>405</v>
      </c>
      <c r="C20" s="9" t="s">
        <v>406</v>
      </c>
      <c r="D20" s="9" t="s">
        <v>407</v>
      </c>
      <c r="E20" s="31" t="s">
        <v>369</v>
      </c>
    </row>
    <row r="21" customFormat="false" ht="75" hidden="false" customHeight="true" outlineLevel="0" collapsed="false">
      <c r="A21" s="28" t="s">
        <v>408</v>
      </c>
      <c r="B21" s="19" t="s">
        <v>409</v>
      </c>
      <c r="C21" s="12" t="s">
        <v>410</v>
      </c>
      <c r="D21" s="12" t="s">
        <v>411</v>
      </c>
      <c r="E21" s="29" t="s">
        <v>369</v>
      </c>
    </row>
    <row r="22" customFormat="false" ht="75" hidden="false" customHeight="true" outlineLevel="0" collapsed="false">
      <c r="A22" s="30" t="s">
        <v>412</v>
      </c>
      <c r="B22" s="14" t="s">
        <v>413</v>
      </c>
      <c r="C22" s="9" t="s">
        <v>414</v>
      </c>
      <c r="D22" s="9" t="s">
        <v>415</v>
      </c>
      <c r="E22" s="31" t="s">
        <v>369</v>
      </c>
    </row>
    <row r="25" customFormat="false" ht="21.75" hidden="false" customHeight="true" outlineLevel="0" collapsed="false">
      <c r="A25" s="3" t="s">
        <v>416</v>
      </c>
      <c r="B25" s="3"/>
      <c r="C25" s="3"/>
      <c r="D25" s="3"/>
      <c r="E25" s="3"/>
    </row>
    <row r="26" customFormat="false" ht="19.5" hidden="false" customHeight="true" outlineLevel="0" collapsed="false">
      <c r="A26" s="4"/>
      <c r="B26" s="4" t="s">
        <v>417</v>
      </c>
      <c r="C26" s="4"/>
      <c r="D26" s="4" t="s">
        <v>418</v>
      </c>
      <c r="E26" s="4"/>
    </row>
    <row r="27" customFormat="false" ht="34.5" hidden="false" customHeight="true" outlineLevel="0" collapsed="false">
      <c r="A27" s="32" t="s">
        <v>419</v>
      </c>
      <c r="B27" s="17" t="s">
        <v>420</v>
      </c>
      <c r="C27" s="33" t="s">
        <v>419</v>
      </c>
      <c r="D27" s="18" t="s">
        <v>421</v>
      </c>
      <c r="E27" s="18"/>
    </row>
    <row r="28" customFormat="false" ht="34.5" hidden="false" customHeight="true" outlineLevel="0" collapsed="false">
      <c r="A28" s="32" t="s">
        <v>419</v>
      </c>
      <c r="B28" s="17" t="s">
        <v>422</v>
      </c>
      <c r="C28" s="33" t="s">
        <v>419</v>
      </c>
      <c r="D28" s="18" t="s">
        <v>423</v>
      </c>
      <c r="E28" s="18"/>
    </row>
    <row r="29" customFormat="false" ht="34.5" hidden="false" customHeight="true" outlineLevel="0" collapsed="false">
      <c r="A29" s="32" t="s">
        <v>419</v>
      </c>
      <c r="B29" s="17" t="s">
        <v>424</v>
      </c>
      <c r="C29" s="33" t="s">
        <v>419</v>
      </c>
      <c r="D29" s="18" t="s">
        <v>425</v>
      </c>
      <c r="E29" s="18"/>
    </row>
    <row r="30" customFormat="false" ht="34.5" hidden="false" customHeight="true" outlineLevel="0" collapsed="false">
      <c r="A30" s="32" t="s">
        <v>419</v>
      </c>
      <c r="B30" s="17" t="s">
        <v>426</v>
      </c>
      <c r="C30" s="33" t="s">
        <v>419</v>
      </c>
      <c r="D30" s="18" t="s">
        <v>427</v>
      </c>
      <c r="E30" s="18"/>
    </row>
    <row r="31" customFormat="false" ht="34.5" hidden="false" customHeight="true" outlineLevel="0" collapsed="false">
      <c r="A31" s="32" t="s">
        <v>419</v>
      </c>
      <c r="B31" s="17" t="s">
        <v>428</v>
      </c>
      <c r="C31" s="33" t="s">
        <v>419</v>
      </c>
      <c r="D31" s="18" t="s">
        <v>429</v>
      </c>
      <c r="E31" s="18"/>
    </row>
  </sheetData>
  <mergeCells count="11">
    <mergeCell ref="A1:E1"/>
    <mergeCell ref="A2:E2"/>
    <mergeCell ref="A3:E3"/>
    <mergeCell ref="A10:E10"/>
    <mergeCell ref="A17:E17"/>
    <mergeCell ref="A25:E25"/>
    <mergeCell ref="D27:E27"/>
    <mergeCell ref="D28:E28"/>
    <mergeCell ref="D29:E29"/>
    <mergeCell ref="D30:E30"/>
    <mergeCell ref="D31:E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2026-05-18T01:20:15Z</dcterms:created>
  <dc:creator>openpyxl</dc:creator>
  <dc:description/>
  <dc:language>en-US</dc:language>
  <cp:lastModifiedBy/>
  <dcterms:modified xsi:type="dcterms:W3CDTF">2026-05-18T01:20:15Z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