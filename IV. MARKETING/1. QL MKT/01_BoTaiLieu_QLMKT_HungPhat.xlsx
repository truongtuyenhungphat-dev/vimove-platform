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ô tả công việc" sheetId="1" state="visible" r:id="rId3"/>
    <sheet name="Khung năng lực" sheetId="2" state="visible" r:id="rId4"/>
    <sheet name="Phiếu đánh giá cá nhân" sheetId="3" state="visible" r:id="rId5"/>
    <sheet name="Câu hỏi phỏng vấn" sheetId="4" state="visible" r:id="rId6"/>
    <sheet name="Score Card ứng viên" sheetId="5" state="visible" r:id="rId7"/>
    <sheet name="Kế hoạch 30-60-90 ngày" sheetId="6" state="visible" r:id="rId8"/>
    <sheet name="Lộ trình phát triể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<sst xmlns="http://schemas.openxmlformats.org/spreadsheetml/2006/main" count="765" uniqueCount="580">
  <si>
    <t xml:space="preserve">MÔ TẢ CÔNG VIỆC – QUẢN LÝ MARKETING</t>
  </si>
  <si>
    <t xml:space="preserve">CTCP Hùng Phát | Phòng Marketing | Mã vị trí: QLMKT | Phiên bản v1.0</t>
  </si>
  <si>
    <t xml:space="preserve">▌ I. THÔNG TIN CHUNG</t>
  </si>
  <si>
    <t xml:space="preserve">Chức danh</t>
  </si>
  <si>
    <t xml:space="preserve">Quản lý Marketing (Marketing Manager)</t>
  </si>
  <si>
    <t xml:space="preserve">Mã vị trí</t>
  </si>
  <si>
    <t xml:space="preserve">QLMKT</t>
  </si>
  <si>
    <t xml:space="preserve">Phòng / Khối</t>
  </si>
  <si>
    <t xml:space="preserve">Phòng Marketing – Khối Kinh doanh</t>
  </si>
  <si>
    <t xml:space="preserve">Cấp báo cáo</t>
  </si>
  <si>
    <t xml:space="preserve">Giám đốc Kinh doanh (GĐKD) / Giám đốc Marketing (nếu có)</t>
  </si>
  <si>
    <t xml:space="preserve">Cấp dưới trực tiếp</t>
  </si>
  <si>
    <t xml:space="preserve">Trưởng nhóm Content · NV Content · Trưởng nhóm Media · NV Media · NV Thiết kế</t>
  </si>
  <si>
    <t xml:space="preserve">Tổng nhân sự QL</t>
  </si>
  <si>
    <t xml:space="preserve">5 vai trò trực tiếp (2 trưởng nhóm + 3 nhóm NV) · ~6–10 nhân sự Phòng Marketing</t>
  </si>
  <si>
    <t xml:space="preserve">Địa điểm</t>
  </si>
  <si>
    <t xml:space="preserve">VP Hùng Phát – Hà Nội + Sản xuất nội dung tại các điểm chụp/quay/sự kiện</t>
  </si>
  <si>
    <t xml:space="preserve">Ca làm việc</t>
  </si>
  <si>
    <t xml:space="preserve">Giờ hành chính; linh hoạt theo nhịp campaign &amp; sản xuất nội dung</t>
  </si>
  <si>
    <t xml:space="preserve">Ngày hiệu lực</t>
  </si>
  <si>
    <t xml:space="preserve">___/___/______</t>
  </si>
  <si>
    <t xml:space="preserve">Phiên bản JD</t>
  </si>
  <si>
    <t xml:space="preserve">v1.0</t>
  </si>
  <si>
    <t xml:space="preserve">▌ II. MỤC ĐÍCH VỊ TRÍ</t>
  </si>
  <si>
    <t xml:space="preserve">Quản lý Marketing chịu trách nhiệm toàn bộ hoạt động Marketing của Hùng Phát trên các nền tảng ON (Facebook, TikTok, YouTube, Shopee/Lazada/TikTok Shop, Website, kênh AI) và OFF (POSM tại điểm bán, brochure, catalogue, sự kiện, hội chợ). QLMKT dẫn dắt 3 mảng: Content, Media, Thiết kế — biến chiến lược thương hiệu thành các campaign đo được kết quả và đảm bảo nhịp xuất bản đều trên kênh official + kênh AI của Hùng Phát. Ưu tiên chiến lược: XÂY THƯƠNG HIỆU MẠNH – HỖ TRỢ DOANH SỐ – TIÊN PHONG AI TRONG SẢN XUẤT NỘI DUNG.</t>
  </si>
  <si>
    <t xml:space="preserve">▌ III. TRÁCH NHIỆM CHÍNH &amp; KPI</t>
  </si>
  <si>
    <t xml:space="preserve">#</t>
  </si>
  <si>
    <t xml:space="preserve">TRÁCH NHIỆM / NHIỆM VỤ</t>
  </si>
  <si>
    <t xml:space="preserve">KPI / TIÊU CHUẨN</t>
  </si>
  <si>
    <t xml:space="preserve">TẦN SUẤT</t>
  </si>
  <si>
    <t xml:space="preserve">MỨC TỐI THIỂU</t>
  </si>
  <si>
    <t xml:space="preserve">PHỐI HỢP</t>
  </si>
  <si>
    <t xml:space="preserve">NHÓM 1 – CHIẾN LƯỢC MARKETING &amp; THƯƠNG HIỆU</t>
  </si>
  <si>
    <t xml:space="preserve">1.1</t>
  </si>
  <si>
    <t xml:space="preserve">Xây dựng kế hoạch Marketing năm/quý/tháng: mục tiêu, ngân sách, content pillar, kênh, KPI; trình GĐKD phê duyệt</t>
  </si>
  <si>
    <t xml:space="preserve">KH năm được duyệt trước 30/11; KH quý duyệt trước 25 tháng cuối quý</t>
  </si>
  <si>
    <t xml:space="preserve">Hàng quý</t>
  </si>
  <si>
    <t xml:space="preserve">KH có lịch xuất bản chi tiết</t>
  </si>
  <si>
    <t xml:space="preserve">GĐKD</t>
  </si>
  <si>
    <t xml:space="preserve">1.2</t>
  </si>
  <si>
    <t xml:space="preserve">Bảo vệ và phát triển bộ nhận diện thương hiệu (brand guideline) — màu, font, tone of voice, layout — áp dụng đồng bộ on-off</t>
  </si>
  <si>
    <t xml:space="preserve">100% ấn phẩm tuân thủ brand guideline; 0 sản phẩm sai brand được publish</t>
  </si>
  <si>
    <t xml:space="preserve">Hàng tháng</t>
  </si>
  <si>
    <t xml:space="preserve">Brand guideline được áp dụng</t>
  </si>
  <si>
    <t xml:space="preserve">TK · Content</t>
  </si>
  <si>
    <t xml:space="preserve">1.3</t>
  </si>
  <si>
    <t xml:space="preserve">Theo dõi sức khỏe thương hiệu (brand health): nhận diện, độ yêu thích, phản hồi khách hàng</t>
  </si>
  <si>
    <t xml:space="preserve">Báo cáo brand health quý; Engagement official channels tăng theo KH</t>
  </si>
  <si>
    <t xml:space="preserve">Báo cáo brand health đều</t>
  </si>
  <si>
    <t xml:space="preserve">NHÓM 2 – QUẢN TRỊ CONTENT ĐA KÊNH (ON + OFF)</t>
  </si>
  <si>
    <t xml:space="preserve">2.1</t>
  </si>
  <si>
    <t xml:space="preserve">Lập lịch xuất bản (content calendar) đa kênh hàng tháng: Facebook, TikTok, YouTube, Shopee, Website + POSM/brochure off</t>
  </si>
  <si>
    <t xml:space="preserve">Calendar duyệt trước ngày 25 tháng trước; 100% bài xuất bản đúng lịch</t>
  </si>
  <si>
    <t xml:space="preserve">Calendar đúng hạn</t>
  </si>
  <si>
    <t xml:space="preserve">TN Content · TN Media</t>
  </si>
  <si>
    <t xml:space="preserve">2.2</t>
  </si>
  <si>
    <t xml:space="preserve">Định hướng concept content theo pillar (sản phẩm, thương hiệu, hành trình khách hàng, viral); duyệt brief và content trước khi publish</t>
  </si>
  <si>
    <t xml:space="preserve">100% bài quan trọng có duyệt brief &amp; sản phẩm cuối; 0 bài bị thu hồi</t>
  </si>
  <si>
    <t xml:space="preserve">Hàng tuần</t>
  </si>
  <si>
    <t xml:space="preserve">Duyệt content đúng quy trình</t>
  </si>
  <si>
    <t xml:space="preserve">TN Content</t>
  </si>
  <si>
    <t xml:space="preserve">2.3</t>
  </si>
  <si>
    <t xml:space="preserve">Quản lý kênh official Hùng Phát (Facebook fanpage, TikTok official, YouTube, Shopee mall, Website): nhịp đăng, chất lượng, phản hồi khách hàng</t>
  </si>
  <si>
    <t xml:space="preserve">Đăng đủ tần suất; Reply tin nhắn ≤ 2h trong giờ làm; 0 khủng hoảng truyền thông không xử lý</t>
  </si>
  <si>
    <t xml:space="preserve">Hàng ngày</t>
  </si>
  <si>
    <t xml:space="preserve">Kênh official hoạt động đều</t>
  </si>
  <si>
    <t xml:space="preserve">TN Content · CSKH</t>
  </si>
  <si>
    <t xml:space="preserve">2.4</t>
  </si>
  <si>
    <t xml:space="preserve">Vận hành kênh AI Hùng Phát: kênh sản xuất nội dung AI (video AI, hình AI, content AI) song song kênh truyền thống; chuẩn hóa quy trình prompt + duyệt</t>
  </si>
  <si>
    <t xml:space="preserve">≥ X bài AI/tháng theo KH; SOP prompt AI có và được áp dụng; 0 nội dung AI vi phạm chính sách nền tảng</t>
  </si>
  <si>
    <t xml:space="preserve">Kênh AI vận hành đều</t>
  </si>
  <si>
    <t xml:space="preserve">TN Content · NV TK</t>
  </si>
  <si>
    <t xml:space="preserve">NHÓM 3 – QUẢN TRỊ MEDIA &amp; PHÂN PHỐI NỘI DUNG</t>
  </si>
  <si>
    <t xml:space="preserve">3.1</t>
  </si>
  <si>
    <t xml:space="preserve">Lập kế hoạch media: phân bổ ngân sách paid (Facebook Ads, TikTok Ads, Google Ads, Shopee Ads), KOL/KOC, PR, hợp tác đối tác</t>
  </si>
  <si>
    <t xml:space="preserve">ROAS theo KH; CPM/CPL trong ngưỡng; Ngân sách media chi ≤ 100% KH</t>
  </si>
  <si>
    <t xml:space="preserve">ROAS đạt ngưỡng</t>
  </si>
  <si>
    <t xml:space="preserve">TN Media · GĐKD · GĐTC</t>
  </si>
  <si>
    <t xml:space="preserve">3.2</t>
  </si>
  <si>
    <t xml:space="preserve">Triển khai và theo dõi các campaign paid: setup, A/B test, tối ưu hằng ngày, báo cáo kết quả</t>
  </si>
  <si>
    <t xml:space="preserve">≥ 90% campaign có A/B test; Báo cáo campaign kết thúc trong 3 ngày</t>
  </si>
  <si>
    <t xml:space="preserve">Campaign có tối ưu</t>
  </si>
  <si>
    <t xml:space="preserve">TN Media · NV Media</t>
  </si>
  <si>
    <t xml:space="preserve">3.3</t>
  </si>
  <si>
    <t xml:space="preserve">Quản lý hợp tác KOL/KOC/Affiliate; lựa chọn, deal, theo dõi hiệu quả và thanh toán</t>
  </si>
  <si>
    <t xml:space="preserve">≥ 90% KOL deal có hợp đồng &amp; deliverable; ROI KOL ≥ ngưỡng</t>
  </si>
  <si>
    <t xml:space="preserve">KOL deal đúng quy trình</t>
  </si>
  <si>
    <t xml:space="preserve">TN Media</t>
  </si>
  <si>
    <t xml:space="preserve">3.4</t>
  </si>
  <si>
    <t xml:space="preserve">Triển khai Marketing OFF tại điểm bán: POSM, trưng bày, catalogue, brochure phối hợp với KD/Trade</t>
  </si>
  <si>
    <t xml:space="preserve">POSM giao đúng hạn ≥ 95%; Catalogue cập nhật mỗi mùa hàng</t>
  </si>
  <si>
    <t xml:space="preserve">POSM đúng hạn</t>
  </si>
  <si>
    <t xml:space="preserve">Phòng KD · TK</t>
  </si>
  <si>
    <t xml:space="preserve">NHÓM 4 – QUẢN TRỊ THIẾT KẾ &amp; SẢN XUẤT ẤN PHẨM</t>
  </si>
  <si>
    <t xml:space="preserve">4.1</t>
  </si>
  <si>
    <t xml:space="preserve">Quản lý đội thiết kế: ưu tiên job, deadline, chất lượng, tuân thủ brand guideline</t>
  </si>
  <si>
    <t xml:space="preserve">≥ 95% job thiết kế đúng deadline; 0 ấn phẩm sai brand publish</t>
  </si>
  <si>
    <t xml:space="preserve">Job đúng hạn</t>
  </si>
  <si>
    <t xml:space="preserve">NV TK</t>
  </si>
  <si>
    <t xml:space="preserve">4.2</t>
  </si>
  <si>
    <t xml:space="preserve">Đảm bảo nguồn lực thiết kế đủ cho on (social asset, ads creative, banner) và off (POSM, catalogue, packaging visual)</t>
  </si>
  <si>
    <t xml:space="preserve">Backlog thiết kế ≤ 5 job pending &gt; 3 ngày; Outsource khi cần</t>
  </si>
  <si>
    <t xml:space="preserve">Backlog kiểm soát</t>
  </si>
  <si>
    <t xml:space="preserve">NV TK · Đối tác</t>
  </si>
  <si>
    <t xml:space="preserve">4.3</t>
  </si>
  <si>
    <t xml:space="preserve">Tích hợp công cụ AI thiết kế (Midjourney, Flux, Veo, Runway, Canva AI) để tăng tốc sản xuất</t>
  </si>
  <si>
    <t xml:space="preserve">≥ X% ấn phẩm dùng AI hỗ trợ; SOP AI design có và đào tạo đội</t>
  </si>
  <si>
    <t xml:space="preserve">AI design ứng dụng đều</t>
  </si>
  <si>
    <t xml:space="preserve">NHÓM 5 – LÃNH ĐẠO ĐỘI &amp; PHÁT TRIỂN NĂNG LỰC</t>
  </si>
  <si>
    <t xml:space="preserve">5.1</t>
  </si>
  <si>
    <t xml:space="preserve">Dẫn dắt 5 vai trò trực tiếp (2 trưởng nhóm + 3 nhóm NV); giao kế hoạch, theo dõi KPI, coaching 1-1 định kỳ</t>
  </si>
  <si>
    <t xml:space="preserve">Coaching ≥ 1 lần/tháng cho 2 TN; ≥ 1 lần/quý cho NV; IDP 100% TN</t>
  </si>
  <si>
    <t xml:space="preserve">Coaching đúng nhịp</t>
  </si>
  <si>
    <t xml:space="preserve">TN · NV</t>
  </si>
  <si>
    <t xml:space="preserve">5.2</t>
  </si>
  <si>
    <t xml:space="preserve">Phát triển năng lực đội: kỹ năng content AI, media paid, thiết kế nâng cao; đào tạo định kỳ</t>
  </si>
  <si>
    <t xml:space="preserve">≥ 1 buổi đào tạo nội bộ/tháng; ≥ 80% đội đạt KPI tháng</t>
  </si>
  <si>
    <t xml:space="preserve">Đào tạo định kỳ</t>
  </si>
  <si>
    <t xml:space="preserve">GĐHR</t>
  </si>
  <si>
    <t xml:space="preserve">5.3</t>
  </si>
  <si>
    <t xml:space="preserve">Tuyển dụng và onboard nhân sự mới khi có nhu cầu mở rộng đội</t>
  </si>
  <si>
    <t xml:space="preserve">Tuyển dụng ≤ 30 ngày khi có yêu cầu; Onboard thành công trong 60 ngày</t>
  </si>
  <si>
    <t xml:space="preserve">Khi phát sinh</t>
  </si>
  <si>
    <t xml:space="preserve">Đủ quân số đội</t>
  </si>
  <si>
    <t xml:space="preserve">NHÓM 6 – ĐO LƯỜNG, BÁO CÁO &amp; PHỐI HỢP</t>
  </si>
  <si>
    <t xml:space="preserve">6.1</t>
  </si>
  <si>
    <t xml:space="preserve">Lập báo cáo Marketing tuần/tháng/quý: KPI kênh, ROAS, hiệu quả campaign, brand health</t>
  </si>
  <si>
    <t xml:space="preserve">100% báo cáo đúng hạn; Báo cáo có phân tích + đề xuất hành động</t>
  </si>
  <si>
    <t xml:space="preserve">Hàng tuần/tháng</t>
  </si>
  <si>
    <t xml:space="preserve">Báo cáo đúng hạn</t>
  </si>
  <si>
    <t xml:space="preserve">6.2</t>
  </si>
  <si>
    <t xml:space="preserve">Phối hợp với KD/Kho/CSKH đảm bảo Marketing hỗ trợ doanh số: leadflow, KM, ra mắt sản phẩm</t>
  </si>
  <si>
    <t xml:space="preserve">Lead-to-sale SLA đạt; ≥ 90% KM có chỉ tiêu sell-out đo được</t>
  </si>
  <si>
    <t xml:space="preserve">Phối hợp KD đều</t>
  </si>
  <si>
    <t xml:space="preserve">Phòng KD · CSKH</t>
  </si>
  <si>
    <t xml:space="preserve">6.3</t>
  </si>
  <si>
    <t xml:space="preserve">Quản lý ngân sách Marketing: chi đúng kế hoạch, hóa đơn đầy đủ, không vượt ngân sách</t>
  </si>
  <si>
    <t xml:space="preserve">Chi ≤ 100% KH; 100% hóa đơn hợp lệ; Báo cáo chi tiêu tháng</t>
  </si>
  <si>
    <t xml:space="preserve">Chi tiêu trong KH</t>
  </si>
  <si>
    <t xml:space="preserve">GĐTC</t>
  </si>
  <si>
    <t xml:space="preserve">▌ IV. CHỈ TIÊU KPI SỐNG CÒN – QLMKT</t>
  </si>
  <si>
    <t xml:space="preserve">CHỈ TIÊU KPI</t>
  </si>
  <si>
    <t xml:space="preserve">TRỌNG SỐ</t>
  </si>
  <si>
    <t xml:space="preserve">TIÊU CHUẨN ĐẠT</t>
  </si>
  <si>
    <t xml:space="preserve">TIÊU CHUẨN XUẤT SẮC</t>
  </si>
  <si>
    <t xml:space="preserve">NGUỒN DỮ LIỆU</t>
  </si>
  <si>
    <t xml:space="preserve">1</t>
  </si>
  <si>
    <t xml:space="preserve">Tăng trưởng kênh official (engagement, follower, view)</t>
  </si>
  <si>
    <t xml:space="preserve">25%</t>
  </si>
  <si>
    <t xml:space="preserve">Theo KH quý của GĐKD</t>
  </si>
  <si>
    <t xml:space="preserve">Vượt KH ≥ 15%</t>
  </si>
  <si>
    <t xml:space="preserve">Insight các nền tảng</t>
  </si>
  <si>
    <t xml:space="preserve">2</t>
  </si>
  <si>
    <t xml:space="preserve">ROAS / hiệu quả paid media</t>
  </si>
  <si>
    <t xml:space="preserve">ROAS ≥ ngưỡng GĐKD/GĐTC</t>
  </si>
  <si>
    <t xml:space="preserve">ROAS vượt 130% ngưỡng</t>
  </si>
  <si>
    <t xml:space="preserve">Báo cáo ads / dashboard</t>
  </si>
  <si>
    <t xml:space="preserve">3</t>
  </si>
  <si>
    <t xml:space="preserve">Nhịp xuất bản &amp; tuân thủ calendar (on + off)</t>
  </si>
  <si>
    <t xml:space="preserve">15%</t>
  </si>
  <si>
    <t xml:space="preserve">≥ 95% bài đúng calendar</t>
  </si>
  <si>
    <t xml:space="preserve">100% bài đúng + có dự phòng</t>
  </si>
  <si>
    <t xml:space="preserve">Content calendar</t>
  </si>
  <si>
    <t xml:space="preserve">4</t>
  </si>
  <si>
    <t xml:space="preserve">Ứng dụng AI vào sản xuất nội dung</t>
  </si>
  <si>
    <t xml:space="preserve">≥ X% content có AI hỗ trợ; SOP AI có</t>
  </si>
  <si>
    <t xml:space="preserve">Kênh AI riêng vận hành đều</t>
  </si>
  <si>
    <t xml:space="preserve">Báo cáo AI</t>
  </si>
  <si>
    <t xml:space="preserve">5</t>
  </si>
  <si>
    <t xml:space="preserve">Chất lượng đội ngũ (% TN/NV đạt KPI)</t>
  </si>
  <si>
    <t xml:space="preserve">20%</t>
  </si>
  <si>
    <t xml:space="preserve">≥ 80% thành viên đạt KPI tháng</t>
  </si>
  <si>
    <t xml:space="preserve">≥ 90% đạt; ≥ 1 TN xuất sắc/quý</t>
  </si>
  <si>
    <t xml:space="preserve">KPI board</t>
  </si>
  <si>
    <t xml:space="preserve">▌ V. YÊU CẦU CÔNG VIỆC</t>
  </si>
  <si>
    <t xml:space="preserve">NĂNG LỰC &amp; KỸ NĂNG CẦN CÓ</t>
  </si>
  <si>
    <t xml:space="preserve">KINH NGHIỆM &amp; HỌC VẤN</t>
  </si>
  <si>
    <t xml:space="preserve">Quản lý Marketing đa kênh (on + off)</t>
  </si>
  <si>
    <t xml:space="preserve">≥ 3 năm kinh nghiệm Marketing, ưu tiên ngành tiêu dùng/thời trang/du lịch/gia dụng</t>
  </si>
  <si>
    <t xml:space="preserve">Quản lý đội Marketing ≥ 5 người</t>
  </si>
  <si>
    <t xml:space="preserve">Đã từng quản lý content + media + designer</t>
  </si>
  <si>
    <t xml:space="preserve">Hiểu paid media (Facebook Ads, TikTok Ads, GG Ads, Shopee Ads)</t>
  </si>
  <si>
    <t xml:space="preserve">Đã trực tiếp setup và tối ưu ≥ 1 năm</t>
  </si>
  <si>
    <t xml:space="preserve">Sản xuất content đa định dạng (video, ảnh, copywriting)</t>
  </si>
  <si>
    <t xml:space="preserve">Có portfolio bài viết viral / video triệu view ưu tiên</t>
  </si>
  <si>
    <t xml:space="preserve">Ứng dụng AI vào marketing (ChatGPT, Midjourney, Veo, Canva AI)</t>
  </si>
  <si>
    <t xml:space="preserve">Đã từng dùng AI trong sản xuất content/thiết kế</t>
  </si>
  <si>
    <t xml:space="preserve">Tư duy thương hiệu &amp; brand guideline</t>
  </si>
  <si>
    <t xml:space="preserve">Hiểu định vị thương hiệu, có tư duy hệ thống</t>
  </si>
  <si>
    <t xml:space="preserve">Phân tích dữ liệu marketing</t>
  </si>
  <si>
    <t xml:space="preserve">Đọc và phân tích báo cáo ads, social insight, lead funnel</t>
  </si>
  <si>
    <t xml:space="preserve">Bằng tốt nghiệp</t>
  </si>
  <si>
    <t xml:space="preserve">Đại học – chuyên ngành Marketing / Truyền thông / Quản trị / Thiết kế</t>
  </si>
  <si>
    <t xml:space="preserve">▌ VI. NĂNG LỰC CẦN CÓ (Theo Khung Năng Lực Hùng Phát)</t>
  </si>
  <si>
    <t xml:space="preserve">Cấp tối thiểu = mức sàn để thông qua thử việc 2 tháng. Cấp mục tiêu = kỳ vọng cuối năm 1.</t>
  </si>
  <si>
    <t xml:space="preserve">NHÓM NL</t>
  </si>
  <si>
    <t xml:space="preserve">TÊN NHÓM NĂNG LỰC</t>
  </si>
  <si>
    <t xml:space="preserve">CẤP TỐI THIỂU</t>
  </si>
  <si>
    <t xml:space="preserve">MÔ TẢ CẤP 3 – ĐẠT YÊU CẦU ✅</t>
  </si>
  <si>
    <t xml:space="preserve">CẤP MỤC TIÊU SAU 1 NĂM</t>
  </si>
  <si>
    <t xml:space="preserve">N1</t>
  </si>
  <si>
    <t xml:space="preserve">Chiến lược Marketing &amp; Quản trị thương hiệu</t>
  </si>
  <si>
    <t xml:space="preserve">Cấp 2</t>
  </si>
  <si>
    <t xml:space="preserve">Xây KH MKT năm/quý gắn mục tiêu DT; bảo vệ brand guideline; theo dõi brand health</t>
  </si>
  <si>
    <t xml:space="preserve">Cấp 3</t>
  </si>
  <si>
    <t xml:space="preserve">N2</t>
  </si>
  <si>
    <t xml:space="preserve">Quản trị Content đa kênh (on + off + AI)</t>
  </si>
  <si>
    <t xml:space="preserve">Lập calendar, định hướng concept, duyệt content, vận hành kênh official + AI</t>
  </si>
  <si>
    <t xml:space="preserve">N3</t>
  </si>
  <si>
    <t xml:space="preserve">Quản trị Media &amp; Paid Advertising</t>
  </si>
  <si>
    <t xml:space="preserve">Phân bổ ngân sách paid, theo dõi ROAS/CPL, hợp tác KOL, A/B test</t>
  </si>
  <si>
    <t xml:space="preserve">N4</t>
  </si>
  <si>
    <t xml:space="preserve">Lãnh đạo đội Marketing &amp; Phát triển năng lực</t>
  </si>
  <si>
    <t xml:space="preserve">Coaching TN/NV, IDP, succession, đào tạo đội ngũ định kỳ</t>
  </si>
  <si>
    <t xml:space="preserve">N5</t>
  </si>
  <si>
    <t xml:space="preserve">Đo lường hiệu quả &amp; Ra quyết định từ data</t>
  </si>
  <si>
    <t xml:space="preserve">10%</t>
  </si>
  <si>
    <t xml:space="preserve">Đọc dashboard, phân tích ROAS/CPL/engagement, ra quyết định từ số</t>
  </si>
  <si>
    <t xml:space="preserve">N6</t>
  </si>
  <si>
    <t xml:space="preserve">Vận hành AI &amp; Cải tiến quy trình sáng tạo</t>
  </si>
  <si>
    <t xml:space="preserve">Sử dụng và đào tạo đội về AI content/design; SOP prompt AI; tốc độ sản xuất</t>
  </si>
  <si>
    <t xml:space="preserve">▌ VII. QUYỀN HẠN &amp; GIỚI HẠN THẨM QUYỀN</t>
  </si>
  <si>
    <t xml:space="preserve">Cột XANH ✅ = tự quyết, chịu trách nhiệm toàn bộ kết quả.   Cột CAM ⚠️ = PHẢI BÁO CÁO hoặc XIN PHÊ DUYỆT trước khi hành động — vi phạm = vi phạm kỷ luật.</t>
  </si>
  <si>
    <t xml:space="preserve">✅  ĐƯỢC PHÉP TỰ QUYẾT ĐỊNH</t>
  </si>
  <si>
    <t xml:space="preserve">⚠️  PHẢI BÁO CÁO / XIN PHÊ DUYỆT TRƯỚC</t>
  </si>
  <si>
    <t xml:space="preserve">THẨM QUYỀN PHÊ DUYỆT</t>
  </si>
  <si>
    <t xml:space="preserve">THẨM QUYỀN TỰ QUYẾT</t>
  </si>
  <si>
    <t xml:space="preserve">Duyệt content xuất bản trên kênh official (đúng brand &amp; quy định)</t>
  </si>
  <si>
    <t xml:space="preserve">Tự quyết</t>
  </si>
  <si>
    <t xml:space="preserve">Phê duyệt brief thiết kế và sản xuất nội dung trong ngân sách</t>
  </si>
  <si>
    <t xml:space="preserve">Tối ưu campaign paid trong ngân sách đã duyệt</t>
  </si>
  <si>
    <t xml:space="preserve">Phân công job thiết kế và sản xuất nội dung</t>
  </si>
  <si>
    <t xml:space="preserve">Phản hồi khủng hoảng truyền thông cấp thấp (comment tiêu cực, hiểu lầm)</t>
  </si>
  <si>
    <t xml:space="preserve">Tự quyết (báo GĐKD)</t>
  </si>
  <si>
    <t xml:space="preserve">THẨM QUYỀN PHẢI XIN DUYỆT</t>
  </si>
  <si>
    <t xml:space="preserve">Tăng ngân sách media/campaign vượt KH &gt; 10%</t>
  </si>
  <si>
    <t xml:space="preserve">Xin duyệt GĐKD</t>
  </si>
  <si>
    <t xml:space="preserve">Hợp tác KOL/KOC giá trị &gt; ngưỡng GĐKD quy định</t>
  </si>
  <si>
    <t xml:space="preserve">Thay đổi brand guideline (logo, màu, font, slogan)</t>
  </si>
  <si>
    <t xml:space="preserve">Xin duyệt GĐKD + GĐĐH</t>
  </si>
  <si>
    <t xml:space="preserve">GĐĐH</t>
  </si>
  <si>
    <t xml:space="preserve">Xử lý khủng hoảng truyền thông nghiêm trọng (báo chí, viral tiêu cực)</t>
  </si>
  <si>
    <t xml:space="preserve">Xin duyệt GĐKD ngay</t>
  </si>
  <si>
    <t xml:space="preserve">GĐKD + GĐĐH</t>
  </si>
  <si>
    <t xml:space="preserve">Tuyển dụng vị trí Trưởng nhóm mới</t>
  </si>
  <si>
    <t xml:space="preserve">Xin duyệt GĐKD + GĐHR</t>
  </si>
  <si>
    <t xml:space="preserve">Hợp tác PR/báo chí với chi phí &gt; ngưỡng</t>
  </si>
  <si>
    <t xml:space="preserve">▌ VIII. LỘ TRÌNH PHÁT TRIỂN</t>
  </si>
  <si>
    <t xml:space="preserve">GIAI ĐOẠN</t>
  </si>
  <si>
    <t xml:space="preserve">VỊ TRÍ TIẾP THEO</t>
  </si>
  <si>
    <t xml:space="preserve">ĐIỀU KIỆN THĂNG TIẾN</t>
  </si>
  <si>
    <t xml:space="preserve">KPI CHỨNG MINH</t>
  </si>
  <si>
    <t xml:space="preserve">NGƯỜI PHÊ DUYỆT</t>
  </si>
  <si>
    <t xml:space="preserve">THỜI GIAN</t>
  </si>
  <si>
    <t xml:space="preserve">Hiện tại</t>
  </si>
  <si>
    <t xml:space="preserve">Quản lý Marketing</t>
  </si>
  <si>
    <t xml:space="preserve">Hoàn thành thử việc 2 tháng; đội đạt KPI tháng đầu</t>
  </si>
  <si>
    <t xml:space="preserve">Đạt nhịp xuất bản, ROAS ngưỡng, đội ổn định</t>
  </si>
  <si>
    <t xml:space="preserve">T1-T2</t>
  </si>
  <si>
    <t xml:space="preserve">Cấp độ 2</t>
  </si>
  <si>
    <t xml:space="preserve">Quản lý Marketing (Senior)</t>
  </si>
  <si>
    <t xml:space="preserve">12T đạt KPI ≥ 110%; ≥ 1 TN lên cấp; AI vận hành ổn</t>
  </si>
  <si>
    <t xml:space="preserve">Engagement +25% YoY, AI đóng góp ≥ 30% sản lượng content</t>
  </si>
  <si>
    <t xml:space="preserve">GĐKD + GĐHR</t>
  </si>
  <si>
    <t xml:space="preserve">12–18 tháng</t>
  </si>
  <si>
    <t xml:space="preserve">Cấp độ 3</t>
  </si>
  <si>
    <t xml:space="preserve">Trưởng phòng Marketing / Giám đốc Marketing</t>
  </si>
  <si>
    <t xml:space="preserve">≥ 2 năm; mở rộng kênh; có succession TN</t>
  </si>
  <si>
    <t xml:space="preserve">Brand health top 3 ngành VN; đội tự vận hành 70%</t>
  </si>
  <si>
    <t xml:space="preserve">24–36 tháng</t>
  </si>
  <si>
    <t xml:space="preserve">▌ IX. XÁC NHẬN &amp; HIỆU LỰC</t>
  </si>
  <si>
    <t xml:space="preserve">Tài liệu nội bộ – CTCP Hùng Phát  |  Không phổ biến ra ngoài  |  Lưu trữ tại HR &amp; QLMKT</t>
  </si>
  <si>
    <t xml:space="preserve">NGƯỜI ĐƯỢC BỔ NHIỆM (Đọc, hiểu &amp; cam kết)</t>
  </si>
  <si>
    <t xml:space="preserve">GĐHR XÁC NHẬN (Đúng khung NL &amp; quy trình)</t>
  </si>
  <si>
    <t xml:space="preserve">GĐKD PHÊ DUYỆT (Ký &amp; đóng dấu)</t>
  </si>
  <si>
    <t xml:space="preserve">Họ tên: ____________________
Chức danh: Quản lý Marketing
Ngày ký: ___/___/______</t>
  </si>
  <si>
    <t xml:space="preserve">Họ tên: ____________________
Chức danh: Giám đốc HR
Ngày ký: ___/___/______</t>
  </si>
  <si>
    <t xml:space="preserve">Họ tên: ____________________
Chức danh: GĐKD
Ngày ký: ___/___/______</t>
  </si>
  <si>
    <t xml:space="preserve">Ngày hiệu lực của JD này: ___/___/______    |    Kỳ review tiếp theo: ___/___/______    |    Người lưu trữ: GĐHR</t>
  </si>
  <si>
    <t xml:space="preserve">KHUNG NĂNG LỰC – QUẢN LÝ MARKETING</t>
  </si>
  <si>
    <t xml:space="preserve">CTCP Hùng Phát | 6 Nhóm NL | Trọng số theo vị trí | Thang 4 cấp</t>
  </si>
  <si>
    <t xml:space="preserve">▌ THANG 4 CẤP &amp; TRỌNG SỐ</t>
  </si>
  <si>
    <t xml:space="preserve">NHÓM NĂNG LỰC</t>
  </si>
  <si>
    <t xml:space="preserve">MỤC TIÊU 6 THÁNG</t>
  </si>
  <si>
    <t xml:space="preserve">MỤC TIÊU 1 NĂM</t>
  </si>
  <si>
    <t xml:space="preserve">TỔNG</t>
  </si>
  <si>
    <t xml:space="preserve">100%</t>
  </si>
  <si>
    <t xml:space="preserve">▌ MÔ TẢ HÀNH VI 4 CẤP THEO NHÓM NĂNG LỰC</t>
  </si>
  <si>
    <t xml:space="preserve">TIÊU CHÍ</t>
  </si>
  <si>
    <t xml:space="preserve">CẤP 1 – Cần phát triển ❌</t>
  </si>
  <si>
    <t xml:space="preserve">CẤP 2 – Đang phát triển ⚠️</t>
  </si>
  <si>
    <t xml:space="preserve">CẤP 3 – Đạt yêu cầu ✅</t>
  </si>
  <si>
    <t xml:space="preserve">CẤP 4 – Xuất sắc ⭐</t>
  </si>
  <si>
    <t xml:space="preserve">N1 – CHIẾN LƯỢC MARKETING &amp; THƯƠNG HIỆU</t>
  </si>
  <si>
    <t xml:space="preserve">Xây dựng KH Marketing</t>
  </si>
  <si>
    <t xml:space="preserve">Làm theo chỉ đạo</t>
  </si>
  <si>
    <t xml:space="preserve">Lập KH cơ bản theo template</t>
  </si>
  <si>
    <t xml:space="preserve">Tự xây KH gắn mục tiêu KD, có pillar</t>
  </si>
  <si>
    <t xml:space="preserve">Xây KH chiến lược 3-12T linh hoạt</t>
  </si>
  <si>
    <t xml:space="preserve">Bảo vệ brand guideline</t>
  </si>
  <si>
    <t xml:space="preserve">Biết nhưng chưa enforce</t>
  </si>
  <si>
    <t xml:space="preserve">Nhắc đội tuân thủ khi sai</t>
  </si>
  <si>
    <t xml:space="preserve">Enforce 100% on-off, có quy trình duyệt</t>
  </si>
  <si>
    <t xml:space="preserve">Phát triển brand guideline lên mức cao hơn</t>
  </si>
  <si>
    <t xml:space="preserve">Theo dõi brand health</t>
  </si>
  <si>
    <t xml:space="preserve">Chưa theo dõi</t>
  </si>
  <si>
    <t xml:space="preserve">Báo cáo định kỳ cơ bản</t>
  </si>
  <si>
    <t xml:space="preserve">Phân tích insight &amp; đề xuất action</t>
  </si>
  <si>
    <t xml:space="preserve">Dự báo xu hướng thương hiệu sớm</t>
  </si>
  <si>
    <t xml:space="preserve">N2 – QUẢN TRỊ CONTENT ĐA KÊNH</t>
  </si>
  <si>
    <t xml:space="preserve">Lập content calendar</t>
  </si>
  <si>
    <t xml:space="preserve">Calendar khi được nhắc</t>
  </si>
  <si>
    <t xml:space="preserve">Calendar đúng tần suất</t>
  </si>
  <si>
    <t xml:space="preserve">Calendar có pillar, gắn KH KD</t>
  </si>
  <si>
    <t xml:space="preserve">Calendar tối ưu theo dữ liệu hiệu quả</t>
  </si>
  <si>
    <t xml:space="preserve">Duyệt content quality</t>
  </si>
  <si>
    <t xml:space="preserve">Duyệt nhanh, ít feedback</t>
  </si>
  <si>
    <t xml:space="preserve">Duyệt đúng quy trình</t>
  </si>
  <si>
    <t xml:space="preserve">Feedback có chiều sâu, nâng chất lượng</t>
  </si>
  <si>
    <t xml:space="preserve">Coaching content cho TN tự cải tiến</t>
  </si>
  <si>
    <t xml:space="preserve">Vận hành kênh official + AI</t>
  </si>
  <si>
    <t xml:space="preserve">Vận hành reactive</t>
  </si>
  <si>
    <t xml:space="preserve">Kênh hoạt động đều</t>
  </si>
  <si>
    <t xml:space="preserve">Tăng trưởng kênh có chỉ tiêu</t>
  </si>
  <si>
    <t xml:space="preserve">Xây kênh thành brand asset có giá trị</t>
  </si>
  <si>
    <t xml:space="preserve">N3 – QUẢN TRỊ MEDIA &amp; PAID ADS</t>
  </si>
  <si>
    <t xml:space="preserve">Phân bổ ngân sách paid</t>
  </si>
  <si>
    <t xml:space="preserve">Phân bổ theo cảm tính</t>
  </si>
  <si>
    <t xml:space="preserve">Phân bổ theo KH cố định</t>
  </si>
  <si>
    <t xml:space="preserve">Phân bổ linh hoạt theo ROAS thực</t>
  </si>
  <si>
    <t xml:space="preserve">Tối ưu portfolio kênh paid theo data</t>
  </si>
  <si>
    <t xml:space="preserve">Tối ưu campaign</t>
  </si>
  <si>
    <t xml:space="preserve">Setup xong để chạy</t>
  </si>
  <si>
    <t xml:space="preserve">Tối ưu khi có vấn đề</t>
  </si>
  <si>
    <t xml:space="preserve">Tối ưu chủ động, A/B test định kỳ</t>
  </si>
  <si>
    <t xml:space="preserve">Xây framework optimization có hệ thống</t>
  </si>
  <si>
    <t xml:space="preserve">Hợp tác KOL/KOC</t>
  </si>
  <si>
    <t xml:space="preserve">Chọn KOL theo trend</t>
  </si>
  <si>
    <t xml:space="preserve">Có quy trình deal cơ bản</t>
  </si>
  <si>
    <t xml:space="preserve">Chọn KOL theo data audience match</t>
  </si>
  <si>
    <t xml:space="preserve">Xây hệ sinh thái KOL dài hạn</t>
  </si>
  <si>
    <t xml:space="preserve">N4 – LÃNH ĐẠO ĐỘI &amp; PHÁT TRIỂN NGƯỜI</t>
  </si>
  <si>
    <t xml:space="preserve">Coaching TN/NV</t>
  </si>
  <si>
    <t xml:space="preserve">Chỉ đạo, ít giải thích</t>
  </si>
  <si>
    <t xml:space="preserve">Feedback chung chung</t>
  </si>
  <si>
    <t xml:space="preserve">Coaching SBI có action</t>
  </si>
  <si>
    <t xml:space="preserve">Coaching phát triển dài hạn</t>
  </si>
  <si>
    <t xml:space="preserve">Xây IDP cho TN/NV</t>
  </si>
  <si>
    <t xml:space="preserve">Chưa có IDP</t>
  </si>
  <si>
    <t xml:space="preserve">IDP cơ bản</t>
  </si>
  <si>
    <t xml:space="preserve">IDP gắn KPI, theo dõi tiến độ</t>
  </si>
  <si>
    <t xml:space="preserve">Succession cho TN đã có</t>
  </si>
  <si>
    <t xml:space="preserve">Đào tạo đội</t>
  </si>
  <si>
    <t xml:space="preserve">Khi cần thiết mới đào tạo</t>
  </si>
  <si>
    <t xml:space="preserve">Đào tạo có roadmap, đo hiệu quả</t>
  </si>
  <si>
    <t xml:space="preserve">Đội tự đào tạo lẫn nhau</t>
  </si>
  <si>
    <t xml:space="preserve">N5 – ĐO LƯỜNG &amp; RA QUYẾT ĐỊNH</t>
  </si>
  <si>
    <t xml:space="preserve">Đọc dashboard</t>
  </si>
  <si>
    <t xml:space="preserve">Đọc khi được nhắc</t>
  </si>
  <si>
    <t xml:space="preserve">Đọc định kỳ</t>
  </si>
  <si>
    <t xml:space="preserve">Phân tích sâu, đề xuất action</t>
  </si>
  <si>
    <t xml:space="preserve">Tự build dashboard tối ưu</t>
  </si>
  <si>
    <t xml:space="preserve">Ra quyết định từ data</t>
  </si>
  <si>
    <t xml:space="preserve">Quyết định cảm tính</t>
  </si>
  <si>
    <t xml:space="preserve">Có tham khảo số</t>
  </si>
  <si>
    <t xml:space="preserve">Quyết định chủ yếu từ data</t>
  </si>
  <si>
    <t xml:space="preserve">Dự báo và quyết định trước số</t>
  </si>
  <si>
    <t xml:space="preserve">N6 – VẬN HÀNH AI &amp; CẢI TIẾN</t>
  </si>
  <si>
    <t xml:space="preserve">Sử dụng AI trong MKT</t>
  </si>
  <si>
    <t xml:space="preserve">Chưa hoặc rất ít dùng</t>
  </si>
  <si>
    <t xml:space="preserve">Dùng cơ bản (ChatGPT)</t>
  </si>
  <si>
    <t xml:space="preserve">Sử dụng đa AI tool có SOP</t>
  </si>
  <si>
    <t xml:space="preserve">Tích hợp AI vào quy trình toàn đội</t>
  </si>
  <si>
    <t xml:space="preserve">Đào tạo đội về AI</t>
  </si>
  <si>
    <t xml:space="preserve">Chưa đào tạo</t>
  </si>
  <si>
    <t xml:space="preserve">Hỗ trợ khi được hỏi</t>
  </si>
  <si>
    <t xml:space="preserve">Đào tạo đội định kỳ, có SOP</t>
  </si>
  <si>
    <t xml:space="preserve">Đội tự cải tiến AI workflow</t>
  </si>
  <si>
    <t xml:space="preserve">PHIẾU ĐÁNH GIÁ NĂNG LỰC – QUẢN LÝ MARKETING</t>
  </si>
  <si>
    <t xml:space="preserve">CTCP Hùng Phát | Đánh giá định kỳ: Đầu vào / Quý / Cuối năm</t>
  </si>
  <si>
    <t xml:space="preserve">▌ THÔNG TIN</t>
  </si>
  <si>
    <t xml:space="preserve">Nhân viên được đánh giá: ___________________________</t>
  </si>
  <si>
    <t xml:space="preserve">Chức danh: Quản lý Marketing</t>
  </si>
  <si>
    <t xml:space="preserve">Kỳ đánh giá: □ Tháng  □ Quý  □ 6 Tháng  □ Năm</t>
  </si>
  <si>
    <t xml:space="preserve">Người đánh giá (GĐKD): ___________________________</t>
  </si>
  <si>
    <t xml:space="preserve">Ngày đánh giá: ___/___/______</t>
  </si>
  <si>
    <t xml:space="preserve">▌ HƯỚNG DẪN: Ghi số cấp (1-4) vào cột 'Cấp hiện tại' + bằng chứng cụ thể quan sát được. Điểm ≥ 3.0 = Đạt yêu cầu vị trí QLMKT.</t>
  </si>
  <si>
    <t xml:space="preserve">TIÊU CHÍ ĐÁNH GIÁ</t>
  </si>
  <si>
    <t xml:space="preserve">BẰNG CHỨNG / VÍ DỤ QUAN SÁT ĐƯỢC</t>
  </si>
  <si>
    <t xml:space="preserve">CẤP (1-4)</t>
  </si>
  <si>
    <t xml:space="preserve">HÀNH ĐỘNG PHÁT TRIỂN</t>
  </si>
  <si>
    <t xml:space="preserve">KPI – KẾT QUẢ MARKETING (55%)</t>
  </si>
  <si>
    <t xml:space="preserve">1.1 Tăng trưởng engagement &amp; follower kênh official (%)</t>
  </si>
  <si>
    <t xml:space="preserve">1.2 ROAS / hiệu quả paid media so KH</t>
  </si>
  <si>
    <t xml:space="preserve">1.3 Nhịp xuất bản đúng calendar (%)</t>
  </si>
  <si>
    <t xml:space="preserve">1.4</t>
  </si>
  <si>
    <t xml:space="preserve">1.4 Ứng dụng AI – % content có AI hỗ trợ</t>
  </si>
  <si>
    <t xml:space="preserve">1.5</t>
  </si>
  <si>
    <t xml:space="preserve">1.5 Brand health (nhận diện, phản hồi tích cực)</t>
  </si>
  <si>
    <t xml:space="preserve">→</t>
  </si>
  <si>
    <t xml:space="preserve">ĐIỂM TRUNG BÌNH NHÓM KPI</t>
  </si>
  <si>
    <t xml:space="preserve">_____ / 4.0</t>
  </si>
  <si>
    <t xml:space="preserve">NĂNG LỰC VẬN HÀNH &amp; ĐỘI NGŨ (30%)</t>
  </si>
  <si>
    <t xml:space="preserve">2.1 Chất lượng coaching TN/NV &amp; IDP</t>
  </si>
  <si>
    <t xml:space="preserve">2.2 Vận hành kênh AI Hùng Phát (SOP, sản lượng, chất lượng)</t>
  </si>
  <si>
    <t xml:space="preserve">2.3 Quản lý ngân sách Marketing (chi đúng KH, hóa đơn đầy đủ)</t>
  </si>
  <si>
    <t xml:space="preserve">2.4 Phối hợp với Phòng KD (lead, KM, hỗ trợ doanh số)</t>
  </si>
  <si>
    <t xml:space="preserve">ĐIỂM TRUNG BÌNH NHÓM (30%)</t>
  </si>
  <si>
    <t xml:space="preserve">THÁI ĐỘ &amp; HÀNH VI LÃNH ĐẠO (15%)</t>
  </si>
  <si>
    <t xml:space="preserve">3.1 Accountability khi miss KPI (action 48h, không đổ lỗi)</t>
  </si>
  <si>
    <t xml:space="preserve">3.2 Cập nhật xu hướng (AI, nền tảng mới) &amp; cải tiến liên tục</t>
  </si>
  <si>
    <t xml:space="preserve">3.3 Phối hợp chủ động với các phòng ban khác</t>
  </si>
  <si>
    <t xml:space="preserve">ĐIỂM TRUNG BÌNH NHÓM (15%)</t>
  </si>
  <si>
    <t xml:space="preserve">▌ TỔNG KẾT ĐÁNH GIÁ</t>
  </si>
  <si>
    <t xml:space="preserve">Điểm tổng = (Nhóm KPI × 55%) + (Năng lực × 30%) + (Thái độ × 15%)</t>
  </si>
  <si>
    <t xml:space="preserve">XẾP LOẠI:  □ Cần phát triển (&lt; 1.5)   □ Đang phát triển (1.5–2.49)   □ Đạt yêu cầu (2.5–3.49)   □ Xuất sắc (≥ 3.5)</t>
  </si>
  <si>
    <t xml:space="preserve">ĐIỂM MẠNH CẦN PHÁT HUY: ___________________________________________</t>
  </si>
  <si>
    <t xml:space="preserve">ĐIỂM CẦN CẢI THIỆN NGAY (ưu tiên top 1-2): _____________________________</t>
  </si>
  <si>
    <t xml:space="preserve">KẾ HOẠCH PHÁT TRIỂN 6 THÁNG TỚI: _____________________________________</t>
  </si>
  <si>
    <t xml:space="preserve">Người được đánh giá ký:_______________   Người đánh giá ký:_______________   Ngày: ___/___/______</t>
  </si>
  <si>
    <t xml:space="preserve">BỘ CÂU HỎI PHỎNG VẤN STAR – QUẢN LÝ MARKETING</t>
  </si>
  <si>
    <t xml:space="preserve">Hội đồng phỏng vấn: GĐKD + GĐHR (+ Tổng GĐ nếu vòng cuối)</t>
  </si>
  <si>
    <t xml:space="preserve">Phỏng vấn theo phương pháp STAR (Situation – Task – Action – Result). Đặt câu hỏi tình huống. Ứng viên phải chứng minh kinh nghiệm Marketing đa kênh ON-OFF, ứng dụng AI thực tế, và quản lý đội ≥ 5 người. Yêu cầu mang portfolio và case study.</t>
  </si>
  <si>
    <t xml:space="preserve">CÂU HỎI PHỎNG VẤN (STAR)</t>
  </si>
  <si>
    <t xml:space="preserve">HƯỚNG DẪN ĐÁNH GIÁ &amp; CỜ ĐỎ</t>
  </si>
  <si>
    <t xml:space="preserve">ĐIỂM (1-4)</t>
  </si>
  <si>
    <t xml:space="preserve">GHI CHÚ QUAN SÁT</t>
  </si>
  <si>
    <t xml:space="preserve">KINH NGHIỆM MARKETING ĐA KÊNH ON-OFF</t>
  </si>
  <si>
    <t xml:space="preserve">Kể về campaign Marketing thành công nhất bạn từng chạy. Mục tiêu, ngân sách, kênh sử dụng, kết quả ROAS/engagement?</t>
  </si>
  <si>
    <t xml:space="preserve">Tìm: tư duy chiến lược, đo lường cụ thể. Cờ đỏ: không nhớ số liệu, không phân tích được nguyên nhân thành công.</t>
  </si>
  <si>
    <t xml:space="preserve">Bạn đã từng quản lý đồng thời ON (Facebook, TikTok, Shopee...) và OFF (POSM, brochure, sự kiện)? Bạn ưu tiên ngân sách giữa các kênh thế nào?</t>
  </si>
  <si>
    <t xml:space="preserve">Tìm: tư duy phân bổ ngân sách dựa trên ROI. Cờ đỏ: chỉ làm 1 mảng, không phân tích được trade-off.</t>
  </si>
  <si>
    <t xml:space="preserve">Lần gần nhất một campaign thất bại. Bạn phát hiện khi nào, làm gì trong 48h và rút ra bài học gì?</t>
  </si>
  <si>
    <t xml:space="preserve">Tìm: accountability + học hỏi từ thất bại. Cờ đỏ: đổ lỗi cho ngân sách/đối thủ, không có hành động cụ thể.</t>
  </si>
  <si>
    <t xml:space="preserve">ỨNG DỤNG AI TRONG MARKETING</t>
  </si>
  <si>
    <t xml:space="preserve">Bạn đã dùng AI nào trong sản xuất content/thiết kế? Kể về 1 quy trình AI bạn xây dựng cho đội và kết quả thực tế?</t>
  </si>
  <si>
    <t xml:space="preserve">Tìm: kinh nghiệm AI thực chiến, không chỉ lý thuyết. Cờ đỏ: chỉ biết ChatGPT cơ bản, chưa có workflow.</t>
  </si>
  <si>
    <t xml:space="preserve">Bạn nghĩ kênh AI riêng cho thương hiệu (như AI Hùng Phát) khác gì kênh chính? Bạn vận hành kênh AI thế nào để không bị phạt thuật toán?</t>
  </si>
  <si>
    <t xml:space="preserve">Tìm: hiểu sâu về AI content + chính sách nền tảng. Cờ đỏ: chưa từng nghĩ về vấn đề này.</t>
  </si>
  <si>
    <t xml:space="preserve">LÃNH ĐẠO ĐỘI MARKETING</t>
  </si>
  <si>
    <t xml:space="preserve">6</t>
  </si>
  <si>
    <t xml:space="preserve">Bạn quản lý 5 vai trò khác nhau: content lead, content staff, media lead, media staff, designer. Bạn ưu tiên thời gian thế nào trong 1 tuần?</t>
  </si>
  <si>
    <t xml:space="preserve">Tìm: kỹ năng phân bổ thời gian và ưu tiên. Cờ đỏ: cố làm hết tất cả, không biết delegate.</t>
  </si>
  <si>
    <t xml:space="preserve">7</t>
  </si>
  <si>
    <t xml:space="preserve">Kể về 1 nhân viên Marketing bạn đã phát triển từ yếu thành khá. Bạn làm gì cụ thể mỗi tuần để thay đổi được họ?</t>
  </si>
  <si>
    <t xml:space="preserve">Tìm: kiên nhẫn và kỹ năng coaching. Cờ đỏ: chỉ đào tạo lý thuyết hoặc 'tự học là chính'.</t>
  </si>
  <si>
    <t xml:space="preserve">8</t>
  </si>
  <si>
    <t xml:space="preserve">Trưởng nhóm Content liên tục miss deadline calendar 2 tháng liên tiếp. Bạn xử lý thế nào – từ buổi 1-1 đầu tiên đến quyết định cuối cùng?</t>
  </si>
  <si>
    <t xml:space="preserve">Tìm: quy trình xử lý vấn đề rõ ràng. Cờ đỏ: né tránh hoặc xử lý quá nhanh không có quy trình.</t>
  </si>
  <si>
    <t xml:space="preserve">TÌNH HUỐNG THỰC TẾ</t>
  </si>
  <si>
    <t xml:space="preserve">9</t>
  </si>
  <si>
    <t xml:space="preserve">Tháng đầu vào QLMKT Hùng Phát: brand guideline rời rạc, đội chưa dùng AI bài bản, ROAS Facebook đang giảm 30% so quý trước. Bạn ưu tiên xử lý gì trong 30 ngày đầu?</t>
  </si>
  <si>
    <t xml:space="preserve">Tìm: khả năng ưu tiên, không cố làm tất cả. Cờ đỏ: ôm hết hoặc không có plan cụ thể.</t>
  </si>
  <si>
    <t xml:space="preserve">10</t>
  </si>
  <si>
    <t xml:space="preserve">Một bài Facebook về Hùng Phát bị comment tiêu cực lan rộng (lỗi sản phẩm, dịch vụ). Trong 2 giờ đầu bạn làm gì?</t>
  </si>
  <si>
    <t xml:space="preserve">Tìm: quy trình xử lý khủng hoảng. Cờ đỏ: xóa bài, im lặng, hoặc tranh cãi với khách.</t>
  </si>
  <si>
    <t xml:space="preserve">SCORE CARD TUYỂN DỤNG – QUẢN LÝ MARKETING</t>
  </si>
  <si>
    <t xml:space="preserve">CTCP Hùng Phát | Panel ≥ 3 người</t>
  </si>
  <si>
    <t xml:space="preserve">▌ THÔNG TIN ỨNG VIÊN</t>
  </si>
  <si>
    <t xml:space="preserve">Vị trí: Quản lý Marketing | Ứng viên: _______________</t>
  </si>
  <si>
    <t xml:space="preserve">Ngày phỏng vấn: ___ | Người đánh giá: _______________</t>
  </si>
  <si>
    <t xml:space="preserve">Thang điểm: 1 (Yếu) – 2 (Trung bình) – 3 (Đạt) – 4 (Tốt) – 5 (Xuất sắc)</t>
  </si>
  <si>
    <t xml:space="preserve">▌ BẢNG ĐIỂM NĂNG LỰC</t>
  </si>
  <si>
    <t xml:space="preserve">ĐIỂM TRỌNG SỐ</t>
  </si>
  <si>
    <t xml:space="preserve">MỨC ĐẠT TỐI THIỂU</t>
  </si>
  <si>
    <t xml:space="preserve">NHẬN XÉT PANEL</t>
  </si>
  <si>
    <t xml:space="preserve">Kinh nghiệm Marketing đa kênh (on + off)</t>
  </si>
  <si>
    <t xml:space="preserve">30%</t>
  </si>
  <si>
    <t xml:space="preserve">Cấp 3 (3.0)</t>
  </si>
  <si>
    <t xml:space="preserve">Năng lực AI &amp; cải tiến quy trình</t>
  </si>
  <si>
    <t xml:space="preserve">Lãnh đạo đội Marketing ≥ 5 người</t>
  </si>
  <si>
    <t xml:space="preserve">Tư duy thương hiệu &amp; data</t>
  </si>
  <si>
    <t xml:space="preserve">Xử lý tình huống &amp; khủng hoảng</t>
  </si>
  <si>
    <t xml:space="preserve">Thái độ &amp; văn hóa phù hợp</t>
  </si>
  <si>
    <t xml:space="preserve">5%</t>
  </si>
  <si>
    <t xml:space="preserve">TỔNG ĐIỂM TRỌNG SỐ</t>
  </si>
  <si>
    <t xml:space="preserve">▌ ĐIỀU KIỆN LOẠI THẲNG</t>
  </si>
  <si>
    <t xml:space="preserve">Chưa từng quản lý đồng thời content + media + thiết kế (chỉ chuyên 1 mảng)</t>
  </si>
  <si>
    <t xml:space="preserve">Không có kinh nghiệm thực tế với AI trong Marketing (chỉ nghe nói, chưa dùng)</t>
  </si>
  <si>
    <t xml:space="preserve">Không hiểu cơ chế paid ads (Facebook/TikTok/GG) hoặc chưa từng setup</t>
  </si>
  <si>
    <t xml:space="preserve">Không có portfolio hoặc case study cụ thể trình ra được</t>
  </si>
  <si>
    <t xml:space="preserve">Phủ nhận trách nhiệm khi campaign fail (đổ hoàn toàn cho khách quan)</t>
  </si>
  <si>
    <t xml:space="preserve">▌ KHUYẾN NGHỊ</t>
  </si>
  <si>
    <t xml:space="preserve">≥ 4.0</t>
  </si>
  <si>
    <t xml:space="preserve">✅ Đề xuất tuyển dụng</t>
  </si>
  <si>
    <t xml:space="preserve">3.0 – 3.9</t>
  </si>
  <si>
    <t xml:space="preserve">⚠️ Cân nhắc – phỏng vấn thêm vòng cuối với GĐKD</t>
  </si>
  <si>
    <t xml:space="preserve">&lt; 3.0</t>
  </si>
  <si>
    <t xml:space="preserve">❌ Không đề xuất</t>
  </si>
  <si>
    <t xml:space="preserve">KẾ HOẠCH 30 – 60 – 90 NGÀY – QUẢN LÝ MARKETING</t>
  </si>
  <si>
    <t xml:space="preserve">CTCP Hùng Phát | Cam kết 2 chiều: QLMKT &amp; Công ty</t>
  </si>
  <si>
    <t xml:space="preserve">Tôi – Quản lý Marketing – cam kết hoàn thành các mục tiêu trong kế hoạch này. Tôi hiểu rằng đây là tiêu chuẩn tối thiểu, không phải trần.</t>
  </si>
  <si>
    <t xml:space="preserve">Công ty cam kết: cung cấp đủ thông tin (sản phẩm, brand asset, số liệu cũ, ngân sách); quyền truy cập tất cả kênh official + AI tools (license, prompt library); GĐKD coaching QLMKT ≥ 2 buổi/tháng trong 3 tháng đầu.</t>
  </si>
  <si>
    <t xml:space="preserve">TUẦN</t>
  </si>
  <si>
    <t xml:space="preserve">CHỦ ĐỀ</t>
  </si>
  <si>
    <t xml:space="preserve">HÀNH ĐỘNG CỤ THỂ</t>
  </si>
  <si>
    <t xml:space="preserve">NGƯỜI HỖ TRỢ</t>
  </si>
  <si>
    <t xml:space="preserve">HOÀN THÀNH</t>
  </si>
  <si>
    <t xml:space="preserve">GIAI ĐOẠN 1 – HỌC &amp; ĐÁNH GIÁ THỰC TRẠNG (Ngày 1–30)</t>
  </si>
  <si>
    <t xml:space="preserve">T1</t>
  </si>
  <si>
    <t xml:space="preserve">Onboard &amp; hiểu thương hiệu Hùng Phát</t>
  </si>
  <si>
    <t xml:space="preserve">Gặp GĐKD nhận bàn giao: KH MKT cũ, brand guideline hiện có, ngân sách, KPI</t>
  </si>
  <si>
    <t xml:space="preserve">□</t>
  </si>
  <si>
    <t xml:space="preserve">Gặp 5 vai trò đội Marketing</t>
  </si>
  <si>
    <t xml:space="preserve">1-1 từng người: hiểu công việc, điểm mạnh/yếu, vấn đề. TN Content &amp; TN Media: gặp sâu hơn (60'/người)</t>
  </si>
  <si>
    <t xml:space="preserve">TN Content · TN Media · NV</t>
  </si>
  <si>
    <t xml:space="preserve">Audit toàn bộ kênh official</t>
  </si>
  <si>
    <t xml:space="preserve">Facebook, TikTok, YouTube, Website, Shopee, Lazada, TikTok Shop: nhịp đăng, engagement, follower trend</t>
  </si>
  <si>
    <t xml:space="preserve">T2</t>
  </si>
  <si>
    <t xml:space="preserve">Audit kênh AI hiện có (nếu có) &amp; lập kế hoạch xây mới</t>
  </si>
  <si>
    <t xml:space="preserve">Đánh giá kênh AI Hùng Phát: trạng thái, công cụ đang dùng, nhân sự, lỗ hổng</t>
  </si>
  <si>
    <t xml:space="preserve">T2-T3</t>
  </si>
  <si>
    <t xml:space="preserve">Audit paid ads &amp; ngân sách 6 tháng gần nhất</t>
  </si>
  <si>
    <t xml:space="preserve">Phân tích ROAS, CPM, CPL từng kênh; xác định kênh hiệu quả nhất và thấp nhất</t>
  </si>
  <si>
    <t xml:space="preserve">T3-T4</t>
  </si>
  <si>
    <t xml:space="preserve">Đánh giá đội thiết kế: backlog, năng lực, công cụ AI</t>
  </si>
  <si>
    <t xml:space="preserve">Xem 20 ấn phẩm gần nhất; đánh giá chất lượng, tốc độ, mức ứng dụng AI</t>
  </si>
  <si>
    <t xml:space="preserve">Khảo sát thị trường &amp; đối thủ</t>
  </si>
  <si>
    <t xml:space="preserve">Top 5 đối thủ ngành vali/balo: kênh, content, ads, KOL, frequency</t>
  </si>
  <si>
    <t xml:space="preserve">DELIVERABLE T1</t>
  </si>
  <si>
    <t xml:space="preserve">BÁO CÁO ĐÁNH GIÁ THỰC TRẠNG MARKETING + 5 ƯU TIÊN 90 NGÀY (nộp GĐKD cuối tuần 4)</t>
  </si>
  <si>
    <t xml:space="preserve">GIAI ĐOẠN 2 – XÂY NỀN &amp; CHUẨN HÓA (Ngày 31–60)</t>
  </si>
  <si>
    <t xml:space="preserve">T5</t>
  </si>
  <si>
    <t xml:space="preserve">Cập nhật / xây mới brand guideline áp dụng toàn đội</t>
  </si>
  <si>
    <t xml:space="preserve">Logo, màu, font, tone of voice, layout chuẩn. Áp dụng on-off đồng bộ</t>
  </si>
  <si>
    <t xml:space="preserve">T5-T6</t>
  </si>
  <si>
    <t xml:space="preserve">Xây content calendar tháng 2-3 đa kênh</t>
  </si>
  <si>
    <t xml:space="preserve">Lịch chi tiết theo pillar: sản phẩm, thương hiệu, hành trình KH, viral. Có dự phòng AI</t>
  </si>
  <si>
    <t xml:space="preserve">T6-T7</t>
  </si>
  <si>
    <t xml:space="preserve">Xây SOP vận hành kênh AI Hùng Phát</t>
  </si>
  <si>
    <t xml:space="preserve">Quy trình prompt, duyệt, kiểm soát chất lượng, xuất bản. Tránh vi phạm chính sách nền tảng</t>
  </si>
  <si>
    <t xml:space="preserve">T7-T8</t>
  </si>
  <si>
    <t xml:space="preserve">Tái phân bổ ngân sách paid media tháng 2-3</t>
  </si>
  <si>
    <t xml:space="preserve">Dựa trên audit T1: tăng kênh hiệu quả, giảm kênh kém. A/B test creative mới</t>
  </si>
  <si>
    <t xml:space="preserve">Coaching TN Content &amp; TN Media lần 1</t>
  </si>
  <si>
    <t xml:space="preserve">Buổi 1-1: KPI tháng, kỳ vọng hành vi, IDP sơ bộ, quy trình báo cáo tuần</t>
  </si>
  <si>
    <t xml:space="preserve">DELIVERABLE T2</t>
  </si>
  <si>
    <t xml:space="preserve">BRAND GUIDELINE + CONTENT CALENDAR + SOP KÊNH AI (nộp GĐKD cuối tuần 8)</t>
  </si>
  <si>
    <t xml:space="preserve">GIAI ĐOẠN 3 – ĐẨY KẾT QUẢ &amp; SCALE (Ngày 61–90)</t>
  </si>
  <si>
    <t xml:space="preserve">T9-T10</t>
  </si>
  <si>
    <t xml:space="preserve">Triển khai campaign Marketing tháng 3 theo plan mới</t>
  </si>
  <si>
    <t xml:space="preserve">Chạy đồng thời on (paid + organic) + off (POSM nếu có). Daily monitoring</t>
  </si>
  <si>
    <t xml:space="preserve">T10-T11</t>
  </si>
  <si>
    <t xml:space="preserve">Đào tạo đội về AI Marketing (workshop nội bộ)</t>
  </si>
  <si>
    <t xml:space="preserve">Buổi 2-3h: dùng ChatGPT/Midjourney/Veo trong workflow. Mỗi NV có 1 case áp dụng</t>
  </si>
  <si>
    <t xml:space="preserve">T11-T12</t>
  </si>
  <si>
    <t xml:space="preserve">Xây IDP 6 tháng cho 2 TN</t>
  </si>
  <si>
    <t xml:space="preserve">IDP gắn KPI, action học tập cụ thể. Trình GĐKD + GĐHR duyệt</t>
  </si>
  <si>
    <t xml:space="preserve">T12</t>
  </si>
  <si>
    <t xml:space="preserve">Tổng kết 90 ngày với GĐKD</t>
  </si>
  <si>
    <t xml:space="preserve">Trình: kết quả engagement, ROAS, sản lượng AI, đội ngũ, kế hoạch Q2</t>
  </si>
  <si>
    <t xml:space="preserve">DELIVERABLE T3</t>
  </si>
  <si>
    <t xml:space="preserve">TRÌNH KẾT QUẢ 90 NGÀY + KẾ HOẠCH MARKETING Q2 (nộp/trình GĐKD cuối tuần 13)</t>
  </si>
  <si>
    <t xml:space="preserve">LỘ TRÌNH PHÁT TRIỂN – QUẢN LÝ MARKETING</t>
  </si>
  <si>
    <t xml:space="preserve">CTCP Hùng Phát | Lộ trình thăng tiến từ vị trí hiện tại</t>
  </si>
  <si>
    <t xml:space="preserve">Hiện tại (T1–12)</t>
  </si>
  <si>
    <t xml:space="preserve">Hoàn thành thử việc 2T; 3T đạt KPI cơ bản (calendar, ROAS, đội ổn định)</t>
  </si>
  <si>
    <t xml:space="preserve">Nhịp xuất bản đều, ROAS ≥ ngưỡng, kênh AI vận hành</t>
  </si>
  <si>
    <t xml:space="preserve">0–12 tháng</t>
  </si>
  <si>
    <t xml:space="preserve">Cấp độ 2 (T13–24)</t>
  </si>
  <si>
    <t xml:space="preserve">12T đạt KPI ≥ 110%; ≥ 1 TN lên cấp NL; AI đóng góp ≥ 30% sản lượng</t>
  </si>
  <si>
    <t xml:space="preserve">Engagement +25% YoY; ROAS tối ưu; đội tự vận hành</t>
  </si>
  <si>
    <t xml:space="preserve">12–24 tháng</t>
  </si>
  <si>
    <t xml:space="preserve">Cấp độ 3 (T25–36)</t>
  </si>
  <si>
    <t xml:space="preserve">Trưởng phòng Marketing / GĐ Marketing</t>
  </si>
  <si>
    <t xml:space="preserve">≥ 2 năm; mở rộng phạm vi; có succession TN</t>
  </si>
  <si>
    <t xml:space="preserve">Brand health top 3 ngành; đội tự vận hành 70%</t>
  </si>
  <si>
    <t xml:space="preserve">Cấp độ 4</t>
  </si>
  <si>
    <t xml:space="preserve">Giám đốc Marketing tập đoàn</t>
  </si>
  <si>
    <t xml:space="preserve">≥ 5 năm tổng; dẫn dắt nhiều thương hiệu/sản phẩm</t>
  </si>
  <si>
    <t xml:space="preserve">Brand portfolio; AI Marketing dẫn đầu ngành</t>
  </si>
  <si>
    <t xml:space="preserve">36–60 tháng</t>
  </si>
  <si>
    <t xml:space="preserve">▌ ĐỂ ĐẠT THĂNG TIẾN NHANH HƠN – 3 ĐIỀU NÊN LÀM</t>
  </si>
  <si>
    <t xml:space="preserve">Làm chủ AI Marketing trước: QLMKT giỏi nhất AI sẽ có ưu thế lớn 2025-2027.</t>
  </si>
  <si>
    <t xml:space="preserve">Đầu tư coaching 2 Trưởng nhóm: QLMKT scale qua TN, không tự làm thay.</t>
  </si>
  <si>
    <t xml:space="preserve">Số hóa mọi thứ: dashboard, calendar, ngân sách – nâng tốc độ ra quyết định.</t>
  </si>
  <si>
    <t xml:space="preserve">▌ XÁC NHẬN &amp; HIỆU LỰC</t>
  </si>
  <si>
    <t xml:space="preserve">Người được bổ nhiệm xác nhận (Ký, ghi rõ họ tên):</t>
  </si>
  <si>
    <t xml:space="preserve">GĐKD phê duyệt (Ký, đóng dấu):</t>
  </si>
  <si>
    <t xml:space="preserve">Ngày hiệu lực: ___/___/______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</si>
</sst>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D6E4F0"/>
      </patternFill>
    </fill>
    <fill>
      <patternFill patternType="solid">
        <fgColor rgb="FFFFFFFF"/>
        <bgColor rgb="FFF2F2F2"/>
      </patternFill>
    </fill>
    <fill>
      <patternFill patternType="solid">
        <fgColor rgb="FFE9F3FF"/>
        <bgColor rgb="FFF2F2F2"/>
      </patternFill>
    </fill>
    <fill>
      <patternFill patternType="solid">
        <fgColor rgb="FFF2F2F2"/>
        <bgColor rgb="FFE9F3FF"/>
      </patternFill>
    </fill>
    <fill>
      <patternFill patternType="solid">
        <fgColor rgb="FFFCE4E4"/>
        <bgColor rgb="FFF2F2F2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DEEAF1"/>
      </patternFill>
    </fill>
    <fill>
      <patternFill patternType="solid">
        <fgColor rgb="FFD6E4F0"/>
        <bgColor rgb="FFDEEA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9F3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2F2F2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7"/>
    <col collapsed="false" customWidth="true" hidden="false" outlineLevel="0" max="3" min="3" style="0" width="31"/>
    <col collapsed="false" customWidth="true" hidden="false" outlineLevel="0" max="4" min="4" style="0" width="18"/>
    <col collapsed="false" customWidth="true" hidden="false" outlineLevel="0" max="5" min="5" style="0" width="34"/>
    <col collapsed="false" customWidth="true" hidden="false" outlineLevel="0" max="6" min="6" style="0" width="15.39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15" hidden="false" customHeight="true" outlineLevel="0" collapsed="false">
      <c r="A4" s="4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4" t="s">
        <v>5</v>
      </c>
      <c r="B5" s="5" t="s">
        <v>6</v>
      </c>
      <c r="C5" s="5"/>
      <c r="D5" s="5"/>
      <c r="E5" s="5"/>
      <c r="F5" s="5"/>
    </row>
    <row r="6" customFormat="false" ht="15" hidden="false" customHeight="true" outlineLevel="0" collapsed="false">
      <c r="A6" s="4" t="s">
        <v>7</v>
      </c>
      <c r="B6" s="5" t="s">
        <v>8</v>
      </c>
      <c r="C6" s="5"/>
      <c r="D6" s="5"/>
      <c r="E6" s="5"/>
      <c r="F6" s="5"/>
    </row>
    <row r="7" customFormat="false" ht="15" hidden="false" customHeight="true" outlineLevel="0" collapsed="false">
      <c r="A7" s="4" t="s">
        <v>9</v>
      </c>
      <c r="B7" s="5" t="s">
        <v>10</v>
      </c>
      <c r="C7" s="5"/>
      <c r="D7" s="5"/>
      <c r="E7" s="5"/>
      <c r="F7" s="5"/>
    </row>
    <row r="8" customFormat="false" ht="22.35" hidden="false" customHeight="true" outlineLevel="0" collapsed="false">
      <c r="A8" s="4" t="s">
        <v>11</v>
      </c>
      <c r="B8" s="5" t="s">
        <v>12</v>
      </c>
      <c r="C8" s="5"/>
      <c r="D8" s="5"/>
      <c r="E8" s="5"/>
      <c r="F8" s="5"/>
    </row>
    <row r="9" customFormat="false" ht="22.35" hidden="false" customHeight="true" outlineLevel="0" collapsed="false">
      <c r="A9" s="4" t="s">
        <v>13</v>
      </c>
      <c r="B9" s="5" t="s">
        <v>14</v>
      </c>
      <c r="C9" s="5"/>
      <c r="D9" s="5"/>
      <c r="E9" s="5"/>
      <c r="F9" s="5"/>
    </row>
    <row r="10" customFormat="false" ht="15" hidden="false" customHeight="true" outlineLevel="0" collapsed="false">
      <c r="A10" s="4" t="s">
        <v>15</v>
      </c>
      <c r="B10" s="5" t="s">
        <v>16</v>
      </c>
      <c r="C10" s="5"/>
      <c r="D10" s="5"/>
      <c r="E10" s="5"/>
      <c r="F10" s="5"/>
    </row>
    <row r="11" customFormat="false" ht="15" hidden="false" customHeight="true" outlineLevel="0" collapsed="false">
      <c r="A11" s="4" t="s">
        <v>17</v>
      </c>
      <c r="B11" s="5" t="s">
        <v>18</v>
      </c>
      <c r="C11" s="5"/>
      <c r="D11" s="5"/>
      <c r="E11" s="5"/>
      <c r="F11" s="5"/>
    </row>
    <row r="12" customFormat="false" ht="22.35" hidden="false" customHeight="true" outlineLevel="0" collapsed="false">
      <c r="A12" s="4" t="s">
        <v>19</v>
      </c>
      <c r="B12" s="5" t="s">
        <v>20</v>
      </c>
      <c r="C12" s="5"/>
      <c r="D12" s="5"/>
      <c r="E12" s="5"/>
      <c r="F12" s="5"/>
    </row>
    <row r="13" customFormat="false" ht="22.35" hidden="false" customHeight="true" outlineLevel="0" collapsed="false">
      <c r="A13" s="4" t="s">
        <v>21</v>
      </c>
      <c r="B13" s="5" t="s">
        <v>22</v>
      </c>
      <c r="C13" s="5"/>
      <c r="D13" s="5"/>
      <c r="E13" s="5"/>
      <c r="F13" s="5"/>
    </row>
    <row r="14" customFormat="false" ht="19.5" hidden="false" customHeight="true" outlineLevel="0" collapsed="false">
      <c r="A14" s="3" t="s">
        <v>23</v>
      </c>
      <c r="B14" s="3"/>
      <c r="C14" s="3"/>
      <c r="D14" s="3"/>
      <c r="E14" s="3"/>
      <c r="F14" s="3"/>
    </row>
    <row r="15" customFormat="false" ht="57.75" hidden="false" customHeight="true" outlineLevel="0" collapsed="false">
      <c r="A15" s="6" t="s">
        <v>24</v>
      </c>
      <c r="B15" s="6"/>
      <c r="C15" s="6"/>
      <c r="D15" s="6"/>
      <c r="E15" s="6"/>
      <c r="F15" s="6"/>
    </row>
    <row r="16" customFormat="false" ht="19.5" hidden="false" customHeight="true" outlineLevel="0" collapsed="false">
      <c r="A16" s="3" t="s">
        <v>25</v>
      </c>
      <c r="B16" s="3"/>
      <c r="C16" s="3"/>
      <c r="D16" s="3"/>
      <c r="E16" s="3"/>
      <c r="F16" s="3"/>
    </row>
    <row r="17" customFormat="false" ht="24" hidden="false" customHeight="true" outlineLevel="0" collapsed="false">
      <c r="A17" s="7" t="s">
        <v>26</v>
      </c>
      <c r="B17" s="7" t="s">
        <v>27</v>
      </c>
      <c r="C17" s="7" t="s">
        <v>28</v>
      </c>
      <c r="D17" s="7" t="s">
        <v>29</v>
      </c>
      <c r="E17" s="7" t="s">
        <v>30</v>
      </c>
      <c r="F17" s="7" t="s">
        <v>31</v>
      </c>
    </row>
    <row r="18" customFormat="false" ht="18" hidden="false" customHeight="true" outlineLevel="0" collapsed="false">
      <c r="A18" s="8" t="s">
        <v>32</v>
      </c>
      <c r="B18" s="8"/>
      <c r="C18" s="8"/>
      <c r="D18" s="8"/>
      <c r="E18" s="8"/>
      <c r="F18" s="8"/>
    </row>
    <row r="19" customFormat="false" ht="45.75" hidden="false" customHeight="true" outlineLevel="0" collapsed="false">
      <c r="A19" s="9" t="s">
        <v>33</v>
      </c>
      <c r="B19" s="5" t="s">
        <v>34</v>
      </c>
      <c r="C19" s="5" t="s">
        <v>35</v>
      </c>
      <c r="D19" s="10" t="s">
        <v>36</v>
      </c>
      <c r="E19" s="10" t="s">
        <v>37</v>
      </c>
      <c r="F19" s="10" t="s">
        <v>38</v>
      </c>
    </row>
    <row r="20" customFormat="false" ht="45.75" hidden="false" customHeight="true" outlineLevel="0" collapsed="false">
      <c r="A20" s="11" t="s">
        <v>39</v>
      </c>
      <c r="B20" s="12" t="s">
        <v>40</v>
      </c>
      <c r="C20" s="12" t="s">
        <v>41</v>
      </c>
      <c r="D20" s="13" t="s">
        <v>42</v>
      </c>
      <c r="E20" s="13" t="s">
        <v>43</v>
      </c>
      <c r="F20" s="13" t="s">
        <v>44</v>
      </c>
    </row>
    <row r="21" customFormat="false" ht="45.75" hidden="false" customHeight="true" outlineLevel="0" collapsed="false">
      <c r="A21" s="9" t="s">
        <v>45</v>
      </c>
      <c r="B21" s="5" t="s">
        <v>46</v>
      </c>
      <c r="C21" s="5" t="s">
        <v>47</v>
      </c>
      <c r="D21" s="10" t="s">
        <v>36</v>
      </c>
      <c r="E21" s="10" t="s">
        <v>48</v>
      </c>
      <c r="F21" s="10" t="s">
        <v>38</v>
      </c>
    </row>
    <row r="22" customFormat="false" ht="18" hidden="false" customHeight="true" outlineLevel="0" collapsed="false">
      <c r="A22" s="8" t="s">
        <v>49</v>
      </c>
      <c r="B22" s="8"/>
      <c r="C22" s="8"/>
      <c r="D22" s="8"/>
      <c r="E22" s="8"/>
      <c r="F22" s="8"/>
    </row>
    <row r="23" customFormat="false" ht="45.75" hidden="false" customHeight="true" outlineLevel="0" collapsed="false">
      <c r="A23" s="9" t="s">
        <v>50</v>
      </c>
      <c r="B23" s="5" t="s">
        <v>51</v>
      </c>
      <c r="C23" s="5" t="s">
        <v>52</v>
      </c>
      <c r="D23" s="10" t="s">
        <v>42</v>
      </c>
      <c r="E23" s="10" t="s">
        <v>53</v>
      </c>
      <c r="F23" s="10" t="s">
        <v>54</v>
      </c>
    </row>
    <row r="24" customFormat="false" ht="45.75" hidden="false" customHeight="true" outlineLevel="0" collapsed="false">
      <c r="A24" s="11" t="s">
        <v>55</v>
      </c>
      <c r="B24" s="12" t="s">
        <v>56</v>
      </c>
      <c r="C24" s="12" t="s">
        <v>57</v>
      </c>
      <c r="D24" s="13" t="s">
        <v>58</v>
      </c>
      <c r="E24" s="13" t="s">
        <v>59</v>
      </c>
      <c r="F24" s="13" t="s">
        <v>60</v>
      </c>
    </row>
    <row r="25" customFormat="false" ht="45.75" hidden="false" customHeight="true" outlineLevel="0" collapsed="false">
      <c r="A25" s="9" t="s">
        <v>61</v>
      </c>
      <c r="B25" s="5" t="s">
        <v>62</v>
      </c>
      <c r="C25" s="5" t="s">
        <v>63</v>
      </c>
      <c r="D25" s="10" t="s">
        <v>64</v>
      </c>
      <c r="E25" s="10" t="s">
        <v>65</v>
      </c>
      <c r="F25" s="10" t="s">
        <v>66</v>
      </c>
    </row>
    <row r="26" customFormat="false" ht="45.75" hidden="false" customHeight="true" outlineLevel="0" collapsed="false">
      <c r="A26" s="11" t="s">
        <v>67</v>
      </c>
      <c r="B26" s="12" t="s">
        <v>68</v>
      </c>
      <c r="C26" s="12" t="s">
        <v>69</v>
      </c>
      <c r="D26" s="13" t="s">
        <v>58</v>
      </c>
      <c r="E26" s="13" t="s">
        <v>70</v>
      </c>
      <c r="F26" s="13" t="s">
        <v>71</v>
      </c>
    </row>
    <row r="27" customFormat="false" ht="18" hidden="false" customHeight="true" outlineLevel="0" collapsed="false">
      <c r="A27" s="8" t="s">
        <v>72</v>
      </c>
      <c r="B27" s="8"/>
      <c r="C27" s="8"/>
      <c r="D27" s="8"/>
      <c r="E27" s="8"/>
      <c r="F27" s="8"/>
    </row>
    <row r="28" customFormat="false" ht="45.75" hidden="false" customHeight="true" outlineLevel="0" collapsed="false">
      <c r="A28" s="9" t="s">
        <v>73</v>
      </c>
      <c r="B28" s="5" t="s">
        <v>74</v>
      </c>
      <c r="C28" s="5" t="s">
        <v>75</v>
      </c>
      <c r="D28" s="10" t="s">
        <v>42</v>
      </c>
      <c r="E28" s="10" t="s">
        <v>76</v>
      </c>
      <c r="F28" s="10" t="s">
        <v>77</v>
      </c>
    </row>
    <row r="29" customFormat="false" ht="45.75" hidden="false" customHeight="true" outlineLevel="0" collapsed="false">
      <c r="A29" s="11" t="s">
        <v>78</v>
      </c>
      <c r="B29" s="12" t="s">
        <v>79</v>
      </c>
      <c r="C29" s="12" t="s">
        <v>80</v>
      </c>
      <c r="D29" s="13" t="s">
        <v>58</v>
      </c>
      <c r="E29" s="13" t="s">
        <v>81</v>
      </c>
      <c r="F29" s="13" t="s">
        <v>82</v>
      </c>
    </row>
    <row r="30" customFormat="false" ht="45.75" hidden="false" customHeight="true" outlineLevel="0" collapsed="false">
      <c r="A30" s="9" t="s">
        <v>83</v>
      </c>
      <c r="B30" s="5" t="s">
        <v>84</v>
      </c>
      <c r="C30" s="5" t="s">
        <v>85</v>
      </c>
      <c r="D30" s="10" t="s">
        <v>42</v>
      </c>
      <c r="E30" s="10" t="s">
        <v>86</v>
      </c>
      <c r="F30" s="10" t="s">
        <v>87</v>
      </c>
    </row>
    <row r="31" customFormat="false" ht="45.75" hidden="false" customHeight="true" outlineLevel="0" collapsed="false">
      <c r="A31" s="11" t="s">
        <v>88</v>
      </c>
      <c r="B31" s="12" t="s">
        <v>89</v>
      </c>
      <c r="C31" s="12" t="s">
        <v>90</v>
      </c>
      <c r="D31" s="13" t="s">
        <v>36</v>
      </c>
      <c r="E31" s="13" t="s">
        <v>91</v>
      </c>
      <c r="F31" s="13" t="s">
        <v>92</v>
      </c>
    </row>
    <row r="32" customFormat="false" ht="18" hidden="false" customHeight="true" outlineLevel="0" collapsed="false">
      <c r="A32" s="8" t="s">
        <v>93</v>
      </c>
      <c r="B32" s="8"/>
      <c r="C32" s="8"/>
      <c r="D32" s="8"/>
      <c r="E32" s="8"/>
      <c r="F32" s="8"/>
    </row>
    <row r="33" customFormat="false" ht="45.75" hidden="false" customHeight="true" outlineLevel="0" collapsed="false">
      <c r="A33" s="9" t="s">
        <v>94</v>
      </c>
      <c r="B33" s="5" t="s">
        <v>95</v>
      </c>
      <c r="C33" s="5" t="s">
        <v>96</v>
      </c>
      <c r="D33" s="10" t="s">
        <v>58</v>
      </c>
      <c r="E33" s="10" t="s">
        <v>97</v>
      </c>
      <c r="F33" s="10" t="s">
        <v>98</v>
      </c>
    </row>
    <row r="34" customFormat="false" ht="45.75" hidden="false" customHeight="true" outlineLevel="0" collapsed="false">
      <c r="A34" s="11" t="s">
        <v>99</v>
      </c>
      <c r="B34" s="12" t="s">
        <v>100</v>
      </c>
      <c r="C34" s="12" t="s">
        <v>101</v>
      </c>
      <c r="D34" s="13" t="s">
        <v>58</v>
      </c>
      <c r="E34" s="13" t="s">
        <v>102</v>
      </c>
      <c r="F34" s="13" t="s">
        <v>103</v>
      </c>
    </row>
    <row r="35" customFormat="false" ht="45.75" hidden="false" customHeight="true" outlineLevel="0" collapsed="false">
      <c r="A35" s="9" t="s">
        <v>104</v>
      </c>
      <c r="B35" s="5" t="s">
        <v>105</v>
      </c>
      <c r="C35" s="5" t="s">
        <v>106</v>
      </c>
      <c r="D35" s="10" t="s">
        <v>42</v>
      </c>
      <c r="E35" s="10" t="s">
        <v>107</v>
      </c>
      <c r="F35" s="10" t="s">
        <v>98</v>
      </c>
    </row>
    <row r="36" customFormat="false" ht="18" hidden="false" customHeight="true" outlineLevel="0" collapsed="false">
      <c r="A36" s="8" t="s">
        <v>108</v>
      </c>
      <c r="B36" s="8"/>
      <c r="C36" s="8"/>
      <c r="D36" s="8"/>
      <c r="E36" s="8"/>
      <c r="F36" s="8"/>
    </row>
    <row r="37" customFormat="false" ht="45.75" hidden="false" customHeight="true" outlineLevel="0" collapsed="false">
      <c r="A37" s="9" t="s">
        <v>109</v>
      </c>
      <c r="B37" s="5" t="s">
        <v>110</v>
      </c>
      <c r="C37" s="5" t="s">
        <v>111</v>
      </c>
      <c r="D37" s="10" t="s">
        <v>42</v>
      </c>
      <c r="E37" s="10" t="s">
        <v>112</v>
      </c>
      <c r="F37" s="10" t="s">
        <v>113</v>
      </c>
    </row>
    <row r="38" customFormat="false" ht="45.75" hidden="false" customHeight="true" outlineLevel="0" collapsed="false">
      <c r="A38" s="11" t="s">
        <v>114</v>
      </c>
      <c r="B38" s="12" t="s">
        <v>115</v>
      </c>
      <c r="C38" s="12" t="s">
        <v>116</v>
      </c>
      <c r="D38" s="13" t="s">
        <v>42</v>
      </c>
      <c r="E38" s="13" t="s">
        <v>117</v>
      </c>
      <c r="F38" s="13" t="s">
        <v>118</v>
      </c>
    </row>
    <row r="39" customFormat="false" ht="45.75" hidden="false" customHeight="true" outlineLevel="0" collapsed="false">
      <c r="A39" s="9" t="s">
        <v>119</v>
      </c>
      <c r="B39" s="5" t="s">
        <v>120</v>
      </c>
      <c r="C39" s="5" t="s">
        <v>121</v>
      </c>
      <c r="D39" s="10" t="s">
        <v>122</v>
      </c>
      <c r="E39" s="10" t="s">
        <v>123</v>
      </c>
      <c r="F39" s="10" t="s">
        <v>118</v>
      </c>
    </row>
    <row r="40" customFormat="false" ht="18" hidden="false" customHeight="true" outlineLevel="0" collapsed="false">
      <c r="A40" s="8" t="s">
        <v>124</v>
      </c>
      <c r="B40" s="8"/>
      <c r="C40" s="8"/>
      <c r="D40" s="8"/>
      <c r="E40" s="8"/>
      <c r="F40" s="8"/>
    </row>
    <row r="41" customFormat="false" ht="45.75" hidden="false" customHeight="true" outlineLevel="0" collapsed="false">
      <c r="A41" s="9" t="s">
        <v>125</v>
      </c>
      <c r="B41" s="5" t="s">
        <v>126</v>
      </c>
      <c r="C41" s="5" t="s">
        <v>127</v>
      </c>
      <c r="D41" s="10" t="s">
        <v>128</v>
      </c>
      <c r="E41" s="10" t="s">
        <v>129</v>
      </c>
      <c r="F41" s="10" t="s">
        <v>38</v>
      </c>
    </row>
    <row r="42" customFormat="false" ht="45.75" hidden="false" customHeight="true" outlineLevel="0" collapsed="false">
      <c r="A42" s="11" t="s">
        <v>130</v>
      </c>
      <c r="B42" s="12" t="s">
        <v>131</v>
      </c>
      <c r="C42" s="12" t="s">
        <v>132</v>
      </c>
      <c r="D42" s="13" t="s">
        <v>42</v>
      </c>
      <c r="E42" s="13" t="s">
        <v>133</v>
      </c>
      <c r="F42" s="13" t="s">
        <v>134</v>
      </c>
    </row>
    <row r="43" customFormat="false" ht="45.75" hidden="false" customHeight="true" outlineLevel="0" collapsed="false">
      <c r="A43" s="9" t="s">
        <v>135</v>
      </c>
      <c r="B43" s="5" t="s">
        <v>136</v>
      </c>
      <c r="C43" s="5" t="s">
        <v>137</v>
      </c>
      <c r="D43" s="10" t="s">
        <v>42</v>
      </c>
      <c r="E43" s="10" t="s">
        <v>138</v>
      </c>
      <c r="F43" s="10" t="s">
        <v>139</v>
      </c>
    </row>
    <row r="44" customFormat="false" ht="19.5" hidden="false" customHeight="true" outlineLevel="0" collapsed="false">
      <c r="A44" s="3" t="s">
        <v>140</v>
      </c>
      <c r="B44" s="3"/>
      <c r="C44" s="3"/>
      <c r="D44" s="3"/>
      <c r="E44" s="3"/>
      <c r="F44" s="3"/>
    </row>
    <row r="45" customFormat="false" ht="24" hidden="false" customHeight="true" outlineLevel="0" collapsed="false">
      <c r="A45" s="7" t="s">
        <v>26</v>
      </c>
      <c r="B45" s="7" t="s">
        <v>141</v>
      </c>
      <c r="C45" s="7" t="s">
        <v>142</v>
      </c>
      <c r="D45" s="7" t="s">
        <v>143</v>
      </c>
      <c r="E45" s="7" t="s">
        <v>144</v>
      </c>
      <c r="F45" s="7" t="s">
        <v>145</v>
      </c>
    </row>
    <row r="46" customFormat="false" ht="33.75" hidden="false" customHeight="true" outlineLevel="0" collapsed="false">
      <c r="A46" s="9" t="s">
        <v>146</v>
      </c>
      <c r="B46" s="5" t="s">
        <v>147</v>
      </c>
      <c r="C46" s="10" t="s">
        <v>148</v>
      </c>
      <c r="D46" s="5" t="s">
        <v>149</v>
      </c>
      <c r="E46" s="5" t="s">
        <v>150</v>
      </c>
      <c r="F46" s="5" t="s">
        <v>151</v>
      </c>
    </row>
    <row r="47" customFormat="false" ht="33.75" hidden="false" customHeight="true" outlineLevel="0" collapsed="false">
      <c r="A47" s="11" t="s">
        <v>152</v>
      </c>
      <c r="B47" s="12" t="s">
        <v>153</v>
      </c>
      <c r="C47" s="13" t="s">
        <v>148</v>
      </c>
      <c r="D47" s="12" t="s">
        <v>154</v>
      </c>
      <c r="E47" s="12" t="s">
        <v>155</v>
      </c>
      <c r="F47" s="12" t="s">
        <v>156</v>
      </c>
    </row>
    <row r="48" customFormat="false" ht="33.75" hidden="false" customHeight="true" outlineLevel="0" collapsed="false">
      <c r="A48" s="9" t="s">
        <v>157</v>
      </c>
      <c r="B48" s="5" t="s">
        <v>158</v>
      </c>
      <c r="C48" s="10" t="s">
        <v>159</v>
      </c>
      <c r="D48" s="5" t="s">
        <v>160</v>
      </c>
      <c r="E48" s="5" t="s">
        <v>161</v>
      </c>
      <c r="F48" s="5" t="s">
        <v>162</v>
      </c>
    </row>
    <row r="49" customFormat="false" ht="33.75" hidden="false" customHeight="true" outlineLevel="0" collapsed="false">
      <c r="A49" s="11" t="s">
        <v>163</v>
      </c>
      <c r="B49" s="12" t="s">
        <v>164</v>
      </c>
      <c r="C49" s="13" t="s">
        <v>159</v>
      </c>
      <c r="D49" s="12" t="s">
        <v>165</v>
      </c>
      <c r="E49" s="12" t="s">
        <v>166</v>
      </c>
      <c r="F49" s="12" t="s">
        <v>167</v>
      </c>
    </row>
    <row r="50" customFormat="false" ht="33.75" hidden="false" customHeight="true" outlineLevel="0" collapsed="false">
      <c r="A50" s="9" t="s">
        <v>168</v>
      </c>
      <c r="B50" s="5" t="s">
        <v>169</v>
      </c>
      <c r="C50" s="10" t="s">
        <v>170</v>
      </c>
      <c r="D50" s="5" t="s">
        <v>171</v>
      </c>
      <c r="E50" s="5" t="s">
        <v>172</v>
      </c>
      <c r="F50" s="5" t="s">
        <v>173</v>
      </c>
    </row>
    <row r="51" customFormat="false" ht="19.5" hidden="false" customHeight="true" outlineLevel="0" collapsed="false">
      <c r="A51" s="3" t="s">
        <v>174</v>
      </c>
      <c r="B51" s="3"/>
      <c r="C51" s="3"/>
      <c r="D51" s="3"/>
      <c r="E51" s="3"/>
      <c r="F51" s="3"/>
    </row>
    <row r="52" customFormat="false" ht="24" hidden="false" customHeight="true" outlineLevel="0" collapsed="false">
      <c r="A52" s="7" t="s">
        <v>175</v>
      </c>
      <c r="B52" s="7"/>
      <c r="C52" s="7"/>
      <c r="D52" s="7" t="s">
        <v>176</v>
      </c>
      <c r="E52" s="7"/>
      <c r="F52" s="7"/>
    </row>
    <row r="53" customFormat="false" ht="30" hidden="false" customHeight="true" outlineLevel="0" collapsed="false">
      <c r="A53" s="5" t="s">
        <v>177</v>
      </c>
      <c r="B53" s="5"/>
      <c r="C53" s="5"/>
      <c r="D53" s="5" t="s">
        <v>178</v>
      </c>
      <c r="E53" s="5"/>
      <c r="F53" s="5"/>
    </row>
    <row r="54" customFormat="false" ht="30" hidden="false" customHeight="true" outlineLevel="0" collapsed="false">
      <c r="A54" s="12" t="s">
        <v>179</v>
      </c>
      <c r="B54" s="12"/>
      <c r="C54" s="12"/>
      <c r="D54" s="12" t="s">
        <v>180</v>
      </c>
      <c r="E54" s="12"/>
      <c r="F54" s="12"/>
    </row>
    <row r="55" customFormat="false" ht="30" hidden="false" customHeight="true" outlineLevel="0" collapsed="false">
      <c r="A55" s="5" t="s">
        <v>181</v>
      </c>
      <c r="B55" s="5"/>
      <c r="C55" s="5"/>
      <c r="D55" s="5" t="s">
        <v>182</v>
      </c>
      <c r="E55" s="5"/>
      <c r="F55" s="5"/>
    </row>
    <row r="56" customFormat="false" ht="30" hidden="false" customHeight="true" outlineLevel="0" collapsed="false">
      <c r="A56" s="12" t="s">
        <v>183</v>
      </c>
      <c r="B56" s="12"/>
      <c r="C56" s="12"/>
      <c r="D56" s="12" t="s">
        <v>184</v>
      </c>
      <c r="E56" s="12"/>
      <c r="F56" s="12"/>
    </row>
    <row r="57" customFormat="false" ht="30" hidden="false" customHeight="true" outlineLevel="0" collapsed="false">
      <c r="A57" s="5" t="s">
        <v>185</v>
      </c>
      <c r="B57" s="5"/>
      <c r="C57" s="5"/>
      <c r="D57" s="5" t="s">
        <v>186</v>
      </c>
      <c r="E57" s="5"/>
      <c r="F57" s="5"/>
    </row>
    <row r="58" customFormat="false" ht="30" hidden="false" customHeight="true" outlineLevel="0" collapsed="false">
      <c r="A58" s="12" t="s">
        <v>187</v>
      </c>
      <c r="B58" s="12"/>
      <c r="C58" s="12"/>
      <c r="D58" s="12" t="s">
        <v>188</v>
      </c>
      <c r="E58" s="12"/>
      <c r="F58" s="12"/>
    </row>
    <row r="59" customFormat="false" ht="30" hidden="false" customHeight="true" outlineLevel="0" collapsed="false">
      <c r="A59" s="5" t="s">
        <v>189</v>
      </c>
      <c r="B59" s="5"/>
      <c r="C59" s="5"/>
      <c r="D59" s="5" t="s">
        <v>190</v>
      </c>
      <c r="E59" s="5"/>
      <c r="F59" s="5"/>
    </row>
    <row r="60" customFormat="false" ht="30" hidden="false" customHeight="true" outlineLevel="0" collapsed="false">
      <c r="A60" s="12" t="s">
        <v>191</v>
      </c>
      <c r="B60" s="12"/>
      <c r="C60" s="12"/>
      <c r="D60" s="12" t="s">
        <v>192</v>
      </c>
      <c r="E60" s="12"/>
      <c r="F60" s="12"/>
    </row>
    <row r="61" customFormat="false" ht="19.5" hidden="false" customHeight="true" outlineLevel="0" collapsed="false">
      <c r="A61" s="3" t="s">
        <v>193</v>
      </c>
      <c r="B61" s="3"/>
      <c r="C61" s="3"/>
      <c r="D61" s="3"/>
      <c r="E61" s="3"/>
      <c r="F61" s="3"/>
    </row>
    <row r="62" customFormat="false" ht="18" hidden="false" customHeight="true" outlineLevel="0" collapsed="false">
      <c r="A62" s="14" t="s">
        <v>194</v>
      </c>
      <c r="B62" s="14"/>
      <c r="C62" s="14"/>
      <c r="D62" s="14"/>
      <c r="E62" s="14"/>
      <c r="F62" s="14"/>
    </row>
    <row r="63" customFormat="false" ht="24" hidden="false" customHeight="true" outlineLevel="0" collapsed="false">
      <c r="A63" s="7" t="s">
        <v>195</v>
      </c>
      <c r="B63" s="7" t="s">
        <v>196</v>
      </c>
      <c r="C63" s="7" t="s">
        <v>142</v>
      </c>
      <c r="D63" s="7" t="s">
        <v>197</v>
      </c>
      <c r="E63" s="7" t="s">
        <v>198</v>
      </c>
      <c r="F63" s="7" t="s">
        <v>199</v>
      </c>
    </row>
    <row r="64" customFormat="false" ht="43.5" hidden="false" customHeight="true" outlineLevel="0" collapsed="false">
      <c r="A64" s="9" t="s">
        <v>200</v>
      </c>
      <c r="B64" s="5" t="s">
        <v>201</v>
      </c>
      <c r="C64" s="10" t="s">
        <v>148</v>
      </c>
      <c r="D64" s="10" t="s">
        <v>202</v>
      </c>
      <c r="E64" s="5" t="s">
        <v>203</v>
      </c>
      <c r="F64" s="10" t="s">
        <v>204</v>
      </c>
    </row>
    <row r="65" customFormat="false" ht="43.5" hidden="false" customHeight="true" outlineLevel="0" collapsed="false">
      <c r="A65" s="11" t="s">
        <v>205</v>
      </c>
      <c r="B65" s="12" t="s">
        <v>206</v>
      </c>
      <c r="C65" s="13" t="s">
        <v>170</v>
      </c>
      <c r="D65" s="13" t="s">
        <v>202</v>
      </c>
      <c r="E65" s="12" t="s">
        <v>207</v>
      </c>
      <c r="F65" s="13" t="s">
        <v>204</v>
      </c>
    </row>
    <row r="66" customFormat="false" ht="43.5" hidden="false" customHeight="true" outlineLevel="0" collapsed="false">
      <c r="A66" s="9" t="s">
        <v>208</v>
      </c>
      <c r="B66" s="5" t="s">
        <v>209</v>
      </c>
      <c r="C66" s="10" t="s">
        <v>170</v>
      </c>
      <c r="D66" s="10" t="s">
        <v>202</v>
      </c>
      <c r="E66" s="5" t="s">
        <v>210</v>
      </c>
      <c r="F66" s="10" t="s">
        <v>204</v>
      </c>
    </row>
    <row r="67" customFormat="false" ht="43.5" hidden="false" customHeight="true" outlineLevel="0" collapsed="false">
      <c r="A67" s="11" t="s">
        <v>211</v>
      </c>
      <c r="B67" s="12" t="s">
        <v>212</v>
      </c>
      <c r="C67" s="13" t="s">
        <v>159</v>
      </c>
      <c r="D67" s="13" t="s">
        <v>202</v>
      </c>
      <c r="E67" s="12" t="s">
        <v>213</v>
      </c>
      <c r="F67" s="13" t="s">
        <v>204</v>
      </c>
    </row>
    <row r="68" customFormat="false" ht="43.5" hidden="false" customHeight="true" outlineLevel="0" collapsed="false">
      <c r="A68" s="9" t="s">
        <v>214</v>
      </c>
      <c r="B68" s="5" t="s">
        <v>215</v>
      </c>
      <c r="C68" s="10" t="s">
        <v>216</v>
      </c>
      <c r="D68" s="10" t="s">
        <v>202</v>
      </c>
      <c r="E68" s="5" t="s">
        <v>217</v>
      </c>
      <c r="F68" s="10" t="s">
        <v>204</v>
      </c>
    </row>
    <row r="69" customFormat="false" ht="43.5" hidden="false" customHeight="true" outlineLevel="0" collapsed="false">
      <c r="A69" s="11" t="s">
        <v>218</v>
      </c>
      <c r="B69" s="12" t="s">
        <v>219</v>
      </c>
      <c r="C69" s="13" t="s">
        <v>216</v>
      </c>
      <c r="D69" s="13" t="s">
        <v>202</v>
      </c>
      <c r="E69" s="12" t="s">
        <v>220</v>
      </c>
      <c r="F69" s="13" t="s">
        <v>204</v>
      </c>
    </row>
    <row r="70" customFormat="false" ht="19.5" hidden="false" customHeight="true" outlineLevel="0" collapsed="false">
      <c r="A70" s="3" t="s">
        <v>221</v>
      </c>
      <c r="B70" s="3"/>
      <c r="C70" s="3"/>
      <c r="D70" s="3"/>
      <c r="E70" s="3"/>
      <c r="F70" s="3"/>
    </row>
    <row r="71" customFormat="false" ht="24" hidden="false" customHeight="true" outlineLevel="0" collapsed="false">
      <c r="A71" s="14" t="s">
        <v>222</v>
      </c>
      <c r="B71" s="14"/>
      <c r="C71" s="14"/>
      <c r="D71" s="14"/>
      <c r="E71" s="14"/>
      <c r="F71" s="14"/>
    </row>
    <row r="72" customFormat="false" ht="15" hidden="false" customHeight="true" outlineLevel="0" collapsed="false">
      <c r="A72" s="8" t="s">
        <v>223</v>
      </c>
      <c r="B72" s="8"/>
      <c r="C72" s="8" t="s">
        <v>224</v>
      </c>
      <c r="D72" s="8"/>
      <c r="E72" s="7" t="s">
        <v>225</v>
      </c>
      <c r="F72" s="7"/>
    </row>
    <row r="73" customFormat="false" ht="18" hidden="false" customHeight="true" outlineLevel="0" collapsed="false">
      <c r="A73" s="15" t="s">
        <v>226</v>
      </c>
      <c r="B73" s="15"/>
      <c r="C73" s="15"/>
      <c r="D73" s="15"/>
      <c r="E73" s="15"/>
      <c r="F73" s="15"/>
    </row>
    <row r="74" customFormat="false" ht="31.5" hidden="false" customHeight="true" outlineLevel="0" collapsed="false">
      <c r="A74" s="5" t="s">
        <v>227</v>
      </c>
      <c r="B74" s="5"/>
      <c r="C74" s="5" t="s">
        <v>228</v>
      </c>
      <c r="D74" s="5"/>
      <c r="E74" s="10" t="s">
        <v>6</v>
      </c>
      <c r="F74" s="10"/>
    </row>
    <row r="75" customFormat="false" ht="31.5" hidden="false" customHeight="true" outlineLevel="0" collapsed="false">
      <c r="A75" s="12" t="s">
        <v>229</v>
      </c>
      <c r="B75" s="12"/>
      <c r="C75" s="12" t="s">
        <v>228</v>
      </c>
      <c r="D75" s="12"/>
      <c r="E75" s="13" t="s">
        <v>6</v>
      </c>
      <c r="F75" s="13"/>
    </row>
    <row r="76" customFormat="false" ht="31.5" hidden="false" customHeight="true" outlineLevel="0" collapsed="false">
      <c r="A76" s="5" t="s">
        <v>230</v>
      </c>
      <c r="B76" s="5"/>
      <c r="C76" s="5" t="s">
        <v>228</v>
      </c>
      <c r="D76" s="5"/>
      <c r="E76" s="10" t="s">
        <v>6</v>
      </c>
      <c r="F76" s="10"/>
    </row>
    <row r="77" customFormat="false" ht="31.5" hidden="false" customHeight="true" outlineLevel="0" collapsed="false">
      <c r="A77" s="12" t="s">
        <v>231</v>
      </c>
      <c r="B77" s="12"/>
      <c r="C77" s="12" t="s">
        <v>228</v>
      </c>
      <c r="D77" s="12"/>
      <c r="E77" s="13" t="s">
        <v>6</v>
      </c>
      <c r="F77" s="13"/>
    </row>
    <row r="78" customFormat="false" ht="31.5" hidden="false" customHeight="true" outlineLevel="0" collapsed="false">
      <c r="A78" s="5" t="s">
        <v>232</v>
      </c>
      <c r="B78" s="5"/>
      <c r="C78" s="5" t="s">
        <v>233</v>
      </c>
      <c r="D78" s="5"/>
      <c r="E78" s="10" t="s">
        <v>6</v>
      </c>
      <c r="F78" s="10"/>
    </row>
    <row r="79" customFormat="false" ht="18" hidden="false" customHeight="true" outlineLevel="0" collapsed="false">
      <c r="A79" s="15" t="s">
        <v>234</v>
      </c>
      <c r="B79" s="15"/>
      <c r="C79" s="15"/>
      <c r="D79" s="15"/>
      <c r="E79" s="15"/>
      <c r="F79" s="15"/>
    </row>
    <row r="80" customFormat="false" ht="31.5" hidden="false" customHeight="true" outlineLevel="0" collapsed="false">
      <c r="A80" s="12" t="s">
        <v>235</v>
      </c>
      <c r="B80" s="12"/>
      <c r="C80" s="12" t="s">
        <v>236</v>
      </c>
      <c r="D80" s="12"/>
      <c r="E80" s="13" t="s">
        <v>38</v>
      </c>
      <c r="F80" s="13"/>
    </row>
    <row r="81" customFormat="false" ht="31.5" hidden="false" customHeight="true" outlineLevel="0" collapsed="false">
      <c r="A81" s="5" t="s">
        <v>237</v>
      </c>
      <c r="B81" s="5"/>
      <c r="C81" s="5" t="s">
        <v>236</v>
      </c>
      <c r="D81" s="5"/>
      <c r="E81" s="10" t="s">
        <v>38</v>
      </c>
      <c r="F81" s="10"/>
    </row>
    <row r="82" customFormat="false" ht="31.5" hidden="false" customHeight="true" outlineLevel="0" collapsed="false">
      <c r="A82" s="12" t="s">
        <v>238</v>
      </c>
      <c r="B82" s="12"/>
      <c r="C82" s="12" t="s">
        <v>239</v>
      </c>
      <c r="D82" s="12"/>
      <c r="E82" s="13" t="s">
        <v>240</v>
      </c>
      <c r="F82" s="13"/>
    </row>
    <row r="83" customFormat="false" ht="31.5" hidden="false" customHeight="true" outlineLevel="0" collapsed="false">
      <c r="A83" s="5" t="s">
        <v>241</v>
      </c>
      <c r="B83" s="5"/>
      <c r="C83" s="5" t="s">
        <v>242</v>
      </c>
      <c r="D83" s="5"/>
      <c r="E83" s="10" t="s">
        <v>243</v>
      </c>
      <c r="F83" s="10"/>
    </row>
    <row r="84" customFormat="false" ht="31.5" hidden="false" customHeight="true" outlineLevel="0" collapsed="false">
      <c r="A84" s="12" t="s">
        <v>244</v>
      </c>
      <c r="B84" s="12"/>
      <c r="C84" s="12" t="s">
        <v>245</v>
      </c>
      <c r="D84" s="12"/>
      <c r="E84" s="13" t="s">
        <v>38</v>
      </c>
      <c r="F84" s="13"/>
    </row>
    <row r="85" customFormat="false" ht="31.5" hidden="false" customHeight="true" outlineLevel="0" collapsed="false">
      <c r="A85" s="5" t="s">
        <v>246</v>
      </c>
      <c r="B85" s="5"/>
      <c r="C85" s="5" t="s">
        <v>236</v>
      </c>
      <c r="D85" s="5"/>
      <c r="E85" s="10" t="s">
        <v>38</v>
      </c>
      <c r="F85" s="10"/>
    </row>
    <row r="86" customFormat="false" ht="19.5" hidden="false" customHeight="true" outlineLevel="0" collapsed="false">
      <c r="A86" s="3" t="s">
        <v>247</v>
      </c>
      <c r="B86" s="3"/>
      <c r="C86" s="3"/>
      <c r="D86" s="3"/>
      <c r="E86" s="3"/>
      <c r="F86" s="3"/>
    </row>
    <row r="87" customFormat="false" ht="24" hidden="false" customHeight="true" outlineLevel="0" collapsed="false">
      <c r="A87" s="7" t="s">
        <v>248</v>
      </c>
      <c r="B87" s="7" t="s">
        <v>249</v>
      </c>
      <c r="C87" s="7" t="s">
        <v>250</v>
      </c>
      <c r="D87" s="7" t="s">
        <v>251</v>
      </c>
      <c r="E87" s="7" t="s">
        <v>252</v>
      </c>
      <c r="F87" s="7" t="s">
        <v>253</v>
      </c>
    </row>
    <row r="88" customFormat="false" ht="39.75" hidden="false" customHeight="true" outlineLevel="0" collapsed="false">
      <c r="A88" s="9" t="s">
        <v>254</v>
      </c>
      <c r="B88" s="5" t="s">
        <v>255</v>
      </c>
      <c r="C88" s="5" t="s">
        <v>256</v>
      </c>
      <c r="D88" s="5" t="s">
        <v>257</v>
      </c>
      <c r="E88" s="10" t="s">
        <v>38</v>
      </c>
      <c r="F88" s="10" t="s">
        <v>258</v>
      </c>
    </row>
    <row r="89" customFormat="false" ht="39.75" hidden="false" customHeight="true" outlineLevel="0" collapsed="false">
      <c r="A89" s="11" t="s">
        <v>259</v>
      </c>
      <c r="B89" s="12" t="s">
        <v>260</v>
      </c>
      <c r="C89" s="12" t="s">
        <v>261</v>
      </c>
      <c r="D89" s="12" t="s">
        <v>262</v>
      </c>
      <c r="E89" s="13" t="s">
        <v>263</v>
      </c>
      <c r="F89" s="13" t="s">
        <v>264</v>
      </c>
    </row>
    <row r="90" customFormat="false" ht="39.75" hidden="false" customHeight="true" outlineLevel="0" collapsed="false">
      <c r="A90" s="9" t="s">
        <v>265</v>
      </c>
      <c r="B90" s="5" t="s">
        <v>266</v>
      </c>
      <c r="C90" s="5" t="s">
        <v>267</v>
      </c>
      <c r="D90" s="5" t="s">
        <v>268</v>
      </c>
      <c r="E90" s="10" t="s">
        <v>243</v>
      </c>
      <c r="F90" s="10" t="s">
        <v>269</v>
      </c>
    </row>
    <row r="91" customFormat="false" ht="19.5" hidden="false" customHeight="true" outlineLevel="0" collapsed="false">
      <c r="A91" s="3" t="s">
        <v>270</v>
      </c>
      <c r="B91" s="3"/>
      <c r="C91" s="3"/>
      <c r="D91" s="3"/>
      <c r="E91" s="3"/>
      <c r="F91" s="3"/>
    </row>
    <row r="92" customFormat="false" ht="18" hidden="false" customHeight="true" outlineLevel="0" collapsed="false">
      <c r="A92" s="4" t="s">
        <v>271</v>
      </c>
      <c r="B92" s="4"/>
      <c r="C92" s="4"/>
      <c r="D92" s="4"/>
      <c r="E92" s="4"/>
      <c r="F92" s="4"/>
    </row>
    <row r="93" customFormat="false" ht="15" hidden="false" customHeight="true" outlineLevel="0" collapsed="false">
      <c r="A93" s="4" t="s">
        <v>272</v>
      </c>
      <c r="B93" s="4"/>
      <c r="C93" s="4" t="s">
        <v>273</v>
      </c>
      <c r="D93" s="4"/>
      <c r="E93" s="4" t="s">
        <v>274</v>
      </c>
      <c r="F93" s="4"/>
    </row>
    <row r="94" customFormat="false" ht="54" hidden="false" customHeight="true" outlineLevel="0" collapsed="false">
      <c r="A94" s="5" t="s">
        <v>275</v>
      </c>
      <c r="B94" s="5"/>
      <c r="C94" s="5" t="s">
        <v>276</v>
      </c>
      <c r="D94" s="5"/>
      <c r="E94" s="5" t="s">
        <v>277</v>
      </c>
      <c r="F94" s="5"/>
    </row>
    <row r="95" customFormat="false" ht="18" hidden="false" customHeight="true" outlineLevel="0" collapsed="false">
      <c r="A95" s="16" t="s">
        <v>278</v>
      </c>
      <c r="B95" s="16"/>
      <c r="C95" s="16"/>
      <c r="D95" s="16"/>
      <c r="E95" s="16"/>
      <c r="F95" s="16"/>
    </row>
  </sheetData>
  <mergeCells count="94">
    <mergeCell ref="A1:F1"/>
    <mergeCell ref="A2:F2"/>
    <mergeCell ref="A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A14:F14"/>
    <mergeCell ref="A15:F15"/>
    <mergeCell ref="A16:F16"/>
    <mergeCell ref="A18:F18"/>
    <mergeCell ref="A22:F22"/>
    <mergeCell ref="A27:F27"/>
    <mergeCell ref="A32:F32"/>
    <mergeCell ref="A36:F36"/>
    <mergeCell ref="A40:F40"/>
    <mergeCell ref="A44:F44"/>
    <mergeCell ref="A51:F51"/>
    <mergeCell ref="A52:C52"/>
    <mergeCell ref="D52:F52"/>
    <mergeCell ref="A53:C53"/>
    <mergeCell ref="D53:F53"/>
    <mergeCell ref="A54:C54"/>
    <mergeCell ref="D54:F54"/>
    <mergeCell ref="A55:C55"/>
    <mergeCell ref="D55:F55"/>
    <mergeCell ref="A56:C56"/>
    <mergeCell ref="D56:F56"/>
    <mergeCell ref="A57:C57"/>
    <mergeCell ref="D57:F57"/>
    <mergeCell ref="A58:C58"/>
    <mergeCell ref="D58:F58"/>
    <mergeCell ref="A59:C59"/>
    <mergeCell ref="D59:F59"/>
    <mergeCell ref="A60:C60"/>
    <mergeCell ref="D60:F60"/>
    <mergeCell ref="A61:F61"/>
    <mergeCell ref="A62:F62"/>
    <mergeCell ref="A70:F70"/>
    <mergeCell ref="A71:F71"/>
    <mergeCell ref="A72:B72"/>
    <mergeCell ref="C72:D72"/>
    <mergeCell ref="E72:F72"/>
    <mergeCell ref="A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F86"/>
    <mergeCell ref="A91:F91"/>
    <mergeCell ref="A92:F92"/>
    <mergeCell ref="A93:B93"/>
    <mergeCell ref="C93:D93"/>
    <mergeCell ref="E93:F93"/>
    <mergeCell ref="A94:B94"/>
    <mergeCell ref="C94:D94"/>
    <mergeCell ref="E94:F94"/>
    <mergeCell ref="A95:F9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4" min="3" style="0" width="22"/>
    <col collapsed="false" customWidth="true" hidden="false" outlineLevel="0" max="5" min="5" style="0" width="30"/>
    <col collapsed="false" customWidth="true" hidden="false" outlineLevel="0" max="6" min="6" style="0" width="22"/>
  </cols>
  <sheetData>
    <row r="1" customFormat="false" ht="37.5" hidden="false" customHeight="true" outlineLevel="0" collapsed="false">
      <c r="A1" s="1" t="s">
        <v>279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280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281</v>
      </c>
      <c r="B3" s="3"/>
      <c r="C3" s="3"/>
      <c r="D3" s="3"/>
      <c r="E3" s="3"/>
      <c r="F3" s="3"/>
    </row>
    <row r="4" customFormat="false" ht="24" hidden="false" customHeight="true" outlineLevel="0" collapsed="false">
      <c r="A4" s="7" t="s">
        <v>26</v>
      </c>
      <c r="B4" s="7" t="s">
        <v>282</v>
      </c>
      <c r="C4" s="7" t="s">
        <v>142</v>
      </c>
      <c r="D4" s="7" t="s">
        <v>197</v>
      </c>
      <c r="E4" s="7" t="s">
        <v>283</v>
      </c>
      <c r="F4" s="7" t="s">
        <v>284</v>
      </c>
    </row>
    <row r="5" customFormat="false" ht="21.75" hidden="false" customHeight="true" outlineLevel="0" collapsed="false">
      <c r="A5" s="9" t="s">
        <v>200</v>
      </c>
      <c r="B5" s="5" t="s">
        <v>201</v>
      </c>
      <c r="C5" s="10" t="s">
        <v>148</v>
      </c>
      <c r="D5" s="10" t="s">
        <v>202</v>
      </c>
      <c r="E5" s="10" t="s">
        <v>202</v>
      </c>
      <c r="F5" s="10" t="s">
        <v>204</v>
      </c>
    </row>
    <row r="6" customFormat="false" ht="21.75" hidden="false" customHeight="true" outlineLevel="0" collapsed="false">
      <c r="A6" s="11" t="s">
        <v>205</v>
      </c>
      <c r="B6" s="12" t="s">
        <v>206</v>
      </c>
      <c r="C6" s="13" t="s">
        <v>170</v>
      </c>
      <c r="D6" s="13" t="s">
        <v>202</v>
      </c>
      <c r="E6" s="13" t="s">
        <v>202</v>
      </c>
      <c r="F6" s="13" t="s">
        <v>204</v>
      </c>
    </row>
    <row r="7" customFormat="false" ht="21.75" hidden="false" customHeight="true" outlineLevel="0" collapsed="false">
      <c r="A7" s="9" t="s">
        <v>208</v>
      </c>
      <c r="B7" s="5" t="s">
        <v>209</v>
      </c>
      <c r="C7" s="10" t="s">
        <v>170</v>
      </c>
      <c r="D7" s="10" t="s">
        <v>202</v>
      </c>
      <c r="E7" s="10" t="s">
        <v>202</v>
      </c>
      <c r="F7" s="10" t="s">
        <v>204</v>
      </c>
    </row>
    <row r="8" customFormat="false" ht="21.75" hidden="false" customHeight="true" outlineLevel="0" collapsed="false">
      <c r="A8" s="11" t="s">
        <v>211</v>
      </c>
      <c r="B8" s="12" t="s">
        <v>212</v>
      </c>
      <c r="C8" s="13" t="s">
        <v>159</v>
      </c>
      <c r="D8" s="13" t="s">
        <v>202</v>
      </c>
      <c r="E8" s="13" t="s">
        <v>202</v>
      </c>
      <c r="F8" s="13" t="s">
        <v>204</v>
      </c>
    </row>
    <row r="9" customFormat="false" ht="21.75" hidden="false" customHeight="true" outlineLevel="0" collapsed="false">
      <c r="A9" s="9" t="s">
        <v>214</v>
      </c>
      <c r="B9" s="5" t="s">
        <v>215</v>
      </c>
      <c r="C9" s="10" t="s">
        <v>216</v>
      </c>
      <c r="D9" s="10" t="s">
        <v>202</v>
      </c>
      <c r="E9" s="10" t="s">
        <v>202</v>
      </c>
      <c r="F9" s="10" t="s">
        <v>204</v>
      </c>
    </row>
    <row r="10" customFormat="false" ht="21.75" hidden="false" customHeight="true" outlineLevel="0" collapsed="false">
      <c r="A10" s="11" t="s">
        <v>218</v>
      </c>
      <c r="B10" s="12" t="s">
        <v>219</v>
      </c>
      <c r="C10" s="13" t="s">
        <v>216</v>
      </c>
      <c r="D10" s="13" t="s">
        <v>202</v>
      </c>
      <c r="E10" s="13" t="s">
        <v>202</v>
      </c>
      <c r="F10" s="13" t="s">
        <v>204</v>
      </c>
    </row>
    <row r="11" customFormat="false" ht="19.5" hidden="false" customHeight="true" outlineLevel="0" collapsed="false">
      <c r="A11" s="10" t="s">
        <v>285</v>
      </c>
      <c r="B11" s="9"/>
      <c r="C11" s="10" t="s">
        <v>286</v>
      </c>
      <c r="D11" s="10"/>
      <c r="E11" s="10"/>
      <c r="F11" s="10"/>
    </row>
    <row r="12" customFormat="false" ht="19.5" hidden="false" customHeight="true" outlineLevel="0" collapsed="false">
      <c r="A12" s="3" t="s">
        <v>287</v>
      </c>
      <c r="B12" s="3"/>
      <c r="C12" s="3"/>
      <c r="D12" s="3"/>
      <c r="E12" s="3"/>
      <c r="F12" s="3"/>
    </row>
    <row r="13" customFormat="false" ht="24" hidden="false" customHeight="true" outlineLevel="0" collapsed="false">
      <c r="A13" s="7" t="s">
        <v>26</v>
      </c>
      <c r="B13" s="7" t="s">
        <v>288</v>
      </c>
      <c r="C13" s="7" t="s">
        <v>289</v>
      </c>
      <c r="D13" s="7" t="s">
        <v>290</v>
      </c>
      <c r="E13" s="7" t="s">
        <v>291</v>
      </c>
      <c r="F13" s="7" t="s">
        <v>292</v>
      </c>
    </row>
    <row r="14" customFormat="false" ht="18" hidden="false" customHeight="true" outlineLevel="0" collapsed="false">
      <c r="A14" s="8" t="s">
        <v>293</v>
      </c>
      <c r="B14" s="8"/>
      <c r="C14" s="8"/>
      <c r="D14" s="8"/>
      <c r="E14" s="8"/>
      <c r="F14" s="8"/>
    </row>
    <row r="15" customFormat="false" ht="57.75" hidden="false" customHeight="true" outlineLevel="0" collapsed="false">
      <c r="A15" s="9" t="s">
        <v>33</v>
      </c>
      <c r="B15" s="17" t="s">
        <v>294</v>
      </c>
      <c r="C15" s="18" t="s">
        <v>295</v>
      </c>
      <c r="D15" s="19" t="s">
        <v>296</v>
      </c>
      <c r="E15" s="20" t="s">
        <v>297</v>
      </c>
      <c r="F15" s="21" t="s">
        <v>298</v>
      </c>
    </row>
    <row r="16" customFormat="false" ht="57.75" hidden="false" customHeight="true" outlineLevel="0" collapsed="false">
      <c r="A16" s="11" t="s">
        <v>39</v>
      </c>
      <c r="B16" s="22" t="s">
        <v>299</v>
      </c>
      <c r="C16" s="18" t="s">
        <v>300</v>
      </c>
      <c r="D16" s="19" t="s">
        <v>301</v>
      </c>
      <c r="E16" s="20" t="s">
        <v>302</v>
      </c>
      <c r="F16" s="21" t="s">
        <v>303</v>
      </c>
    </row>
    <row r="17" customFormat="false" ht="57.75" hidden="false" customHeight="true" outlineLevel="0" collapsed="false">
      <c r="A17" s="9" t="s">
        <v>45</v>
      </c>
      <c r="B17" s="17" t="s">
        <v>304</v>
      </c>
      <c r="C17" s="18" t="s">
        <v>305</v>
      </c>
      <c r="D17" s="19" t="s">
        <v>306</v>
      </c>
      <c r="E17" s="20" t="s">
        <v>307</v>
      </c>
      <c r="F17" s="21" t="s">
        <v>308</v>
      </c>
    </row>
    <row r="18" customFormat="false" ht="18" hidden="false" customHeight="true" outlineLevel="0" collapsed="false">
      <c r="A18" s="8" t="s">
        <v>309</v>
      </c>
      <c r="B18" s="8"/>
      <c r="C18" s="8"/>
      <c r="D18" s="8"/>
      <c r="E18" s="8"/>
      <c r="F18" s="8"/>
    </row>
    <row r="19" customFormat="false" ht="57.75" hidden="false" customHeight="true" outlineLevel="0" collapsed="false">
      <c r="A19" s="9" t="s">
        <v>50</v>
      </c>
      <c r="B19" s="17" t="s">
        <v>310</v>
      </c>
      <c r="C19" s="18" t="s">
        <v>311</v>
      </c>
      <c r="D19" s="19" t="s">
        <v>312</v>
      </c>
      <c r="E19" s="20" t="s">
        <v>313</v>
      </c>
      <c r="F19" s="21" t="s">
        <v>314</v>
      </c>
    </row>
    <row r="20" customFormat="false" ht="57.75" hidden="false" customHeight="true" outlineLevel="0" collapsed="false">
      <c r="A20" s="11" t="s">
        <v>55</v>
      </c>
      <c r="B20" s="22" t="s">
        <v>315</v>
      </c>
      <c r="C20" s="18" t="s">
        <v>316</v>
      </c>
      <c r="D20" s="19" t="s">
        <v>317</v>
      </c>
      <c r="E20" s="20" t="s">
        <v>318</v>
      </c>
      <c r="F20" s="21" t="s">
        <v>319</v>
      </c>
    </row>
    <row r="21" customFormat="false" ht="57.75" hidden="false" customHeight="true" outlineLevel="0" collapsed="false">
      <c r="A21" s="9" t="s">
        <v>61</v>
      </c>
      <c r="B21" s="17" t="s">
        <v>320</v>
      </c>
      <c r="C21" s="18" t="s">
        <v>321</v>
      </c>
      <c r="D21" s="19" t="s">
        <v>322</v>
      </c>
      <c r="E21" s="20" t="s">
        <v>323</v>
      </c>
      <c r="F21" s="21" t="s">
        <v>324</v>
      </c>
    </row>
    <row r="22" customFormat="false" ht="18" hidden="false" customHeight="true" outlineLevel="0" collapsed="false">
      <c r="A22" s="8" t="s">
        <v>325</v>
      </c>
      <c r="B22" s="8"/>
      <c r="C22" s="8"/>
      <c r="D22" s="8"/>
      <c r="E22" s="8"/>
      <c r="F22" s="8"/>
    </row>
    <row r="23" customFormat="false" ht="57.75" hidden="false" customHeight="true" outlineLevel="0" collapsed="false">
      <c r="A23" s="9" t="s">
        <v>73</v>
      </c>
      <c r="B23" s="17" t="s">
        <v>326</v>
      </c>
      <c r="C23" s="18" t="s">
        <v>327</v>
      </c>
      <c r="D23" s="19" t="s">
        <v>328</v>
      </c>
      <c r="E23" s="20" t="s">
        <v>329</v>
      </c>
      <c r="F23" s="21" t="s">
        <v>330</v>
      </c>
    </row>
    <row r="24" customFormat="false" ht="57.75" hidden="false" customHeight="true" outlineLevel="0" collapsed="false">
      <c r="A24" s="11" t="s">
        <v>78</v>
      </c>
      <c r="B24" s="22" t="s">
        <v>331</v>
      </c>
      <c r="C24" s="18" t="s">
        <v>332</v>
      </c>
      <c r="D24" s="19" t="s">
        <v>333</v>
      </c>
      <c r="E24" s="20" t="s">
        <v>334</v>
      </c>
      <c r="F24" s="21" t="s">
        <v>335</v>
      </c>
    </row>
    <row r="25" customFormat="false" ht="57.75" hidden="false" customHeight="true" outlineLevel="0" collapsed="false">
      <c r="A25" s="9" t="s">
        <v>83</v>
      </c>
      <c r="B25" s="17" t="s">
        <v>336</v>
      </c>
      <c r="C25" s="18" t="s">
        <v>337</v>
      </c>
      <c r="D25" s="19" t="s">
        <v>338</v>
      </c>
      <c r="E25" s="20" t="s">
        <v>339</v>
      </c>
      <c r="F25" s="21" t="s">
        <v>340</v>
      </c>
    </row>
    <row r="26" customFormat="false" ht="18" hidden="false" customHeight="true" outlineLevel="0" collapsed="false">
      <c r="A26" s="8" t="s">
        <v>341</v>
      </c>
      <c r="B26" s="8"/>
      <c r="C26" s="8"/>
      <c r="D26" s="8"/>
      <c r="E26" s="8"/>
      <c r="F26" s="8"/>
    </row>
    <row r="27" customFormat="false" ht="57.75" hidden="false" customHeight="true" outlineLevel="0" collapsed="false">
      <c r="A27" s="9" t="s">
        <v>94</v>
      </c>
      <c r="B27" s="17" t="s">
        <v>342</v>
      </c>
      <c r="C27" s="18" t="s">
        <v>343</v>
      </c>
      <c r="D27" s="19" t="s">
        <v>344</v>
      </c>
      <c r="E27" s="20" t="s">
        <v>345</v>
      </c>
      <c r="F27" s="21" t="s">
        <v>346</v>
      </c>
    </row>
    <row r="28" customFormat="false" ht="57.75" hidden="false" customHeight="true" outlineLevel="0" collapsed="false">
      <c r="A28" s="11" t="s">
        <v>99</v>
      </c>
      <c r="B28" s="22" t="s">
        <v>347</v>
      </c>
      <c r="C28" s="18" t="s">
        <v>348</v>
      </c>
      <c r="D28" s="19" t="s">
        <v>349</v>
      </c>
      <c r="E28" s="20" t="s">
        <v>350</v>
      </c>
      <c r="F28" s="21" t="s">
        <v>351</v>
      </c>
    </row>
    <row r="29" customFormat="false" ht="57.75" hidden="false" customHeight="true" outlineLevel="0" collapsed="false">
      <c r="A29" s="9" t="s">
        <v>104</v>
      </c>
      <c r="B29" s="17" t="s">
        <v>352</v>
      </c>
      <c r="C29" s="18" t="s">
        <v>353</v>
      </c>
      <c r="D29" s="19" t="s">
        <v>117</v>
      </c>
      <c r="E29" s="20" t="s">
        <v>354</v>
      </c>
      <c r="F29" s="21" t="s">
        <v>355</v>
      </c>
    </row>
    <row r="30" customFormat="false" ht="18" hidden="false" customHeight="true" outlineLevel="0" collapsed="false">
      <c r="A30" s="8" t="s">
        <v>356</v>
      </c>
      <c r="B30" s="8"/>
      <c r="C30" s="8"/>
      <c r="D30" s="8"/>
      <c r="E30" s="8"/>
      <c r="F30" s="8"/>
    </row>
    <row r="31" customFormat="false" ht="57.75" hidden="false" customHeight="true" outlineLevel="0" collapsed="false">
      <c r="A31" s="9" t="s">
        <v>109</v>
      </c>
      <c r="B31" s="17" t="s">
        <v>357</v>
      </c>
      <c r="C31" s="18" t="s">
        <v>358</v>
      </c>
      <c r="D31" s="19" t="s">
        <v>359</v>
      </c>
      <c r="E31" s="20" t="s">
        <v>360</v>
      </c>
      <c r="F31" s="21" t="s">
        <v>361</v>
      </c>
    </row>
    <row r="32" customFormat="false" ht="57.75" hidden="false" customHeight="true" outlineLevel="0" collapsed="false">
      <c r="A32" s="11" t="s">
        <v>114</v>
      </c>
      <c r="B32" s="22" t="s">
        <v>362</v>
      </c>
      <c r="C32" s="18" t="s">
        <v>363</v>
      </c>
      <c r="D32" s="19" t="s">
        <v>364</v>
      </c>
      <c r="E32" s="20" t="s">
        <v>365</v>
      </c>
      <c r="F32" s="21" t="s">
        <v>366</v>
      </c>
    </row>
    <row r="33" customFormat="false" ht="18" hidden="false" customHeight="true" outlineLevel="0" collapsed="false">
      <c r="A33" s="8" t="s">
        <v>367</v>
      </c>
      <c r="B33" s="8"/>
      <c r="C33" s="8"/>
      <c r="D33" s="8"/>
      <c r="E33" s="8"/>
      <c r="F33" s="8"/>
    </row>
    <row r="34" customFormat="false" ht="57.75" hidden="false" customHeight="true" outlineLevel="0" collapsed="false">
      <c r="A34" s="9" t="s">
        <v>125</v>
      </c>
      <c r="B34" s="17" t="s">
        <v>368</v>
      </c>
      <c r="C34" s="18" t="s">
        <v>369</v>
      </c>
      <c r="D34" s="19" t="s">
        <v>370</v>
      </c>
      <c r="E34" s="20" t="s">
        <v>371</v>
      </c>
      <c r="F34" s="21" t="s">
        <v>372</v>
      </c>
    </row>
    <row r="35" customFormat="false" ht="57.75" hidden="false" customHeight="true" outlineLevel="0" collapsed="false">
      <c r="A35" s="11" t="s">
        <v>130</v>
      </c>
      <c r="B35" s="22" t="s">
        <v>373</v>
      </c>
      <c r="C35" s="18" t="s">
        <v>374</v>
      </c>
      <c r="D35" s="19" t="s">
        <v>375</v>
      </c>
      <c r="E35" s="20" t="s">
        <v>376</v>
      </c>
      <c r="F35" s="21" t="s">
        <v>377</v>
      </c>
    </row>
  </sheetData>
  <mergeCells count="10">
    <mergeCell ref="A1:F1"/>
    <mergeCell ref="A2:F2"/>
    <mergeCell ref="A3:F3"/>
    <mergeCell ref="A12:F12"/>
    <mergeCell ref="A14:F14"/>
    <mergeCell ref="A18:F18"/>
    <mergeCell ref="A22:F22"/>
    <mergeCell ref="A26:F26"/>
    <mergeCell ref="A30:F30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30"/>
  </cols>
  <sheetData>
    <row r="1" customFormat="false" ht="37.5" hidden="false" customHeight="true" outlineLevel="0" collapsed="false">
      <c r="A1" s="1" t="s">
        <v>378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379</v>
      </c>
      <c r="B2" s="2"/>
      <c r="C2" s="2"/>
      <c r="D2" s="2"/>
      <c r="E2" s="2"/>
    </row>
    <row r="3" customFormat="false" ht="19.5" hidden="false" customHeight="true" outlineLevel="0" collapsed="false">
      <c r="A3" s="3" t="s">
        <v>380</v>
      </c>
      <c r="B3" s="3"/>
      <c r="C3" s="3"/>
      <c r="D3" s="3"/>
      <c r="E3" s="3"/>
    </row>
    <row r="4" customFormat="false" ht="18" hidden="false" customHeight="true" outlineLevel="0" collapsed="false">
      <c r="A4" s="5" t="s">
        <v>381</v>
      </c>
      <c r="B4" s="5"/>
      <c r="C4" s="5"/>
      <c r="D4" s="5"/>
      <c r="E4" s="5"/>
    </row>
    <row r="5" customFormat="false" ht="18" hidden="false" customHeight="true" outlineLevel="0" collapsed="false">
      <c r="A5" s="5" t="s">
        <v>382</v>
      </c>
      <c r="B5" s="5"/>
      <c r="C5" s="5"/>
      <c r="D5" s="5"/>
      <c r="E5" s="5"/>
    </row>
    <row r="6" customFormat="false" ht="18" hidden="false" customHeight="true" outlineLevel="0" collapsed="false">
      <c r="A6" s="5" t="s">
        <v>383</v>
      </c>
      <c r="B6" s="5"/>
      <c r="C6" s="5"/>
      <c r="D6" s="5"/>
      <c r="E6" s="5"/>
    </row>
    <row r="7" customFormat="false" ht="18" hidden="false" customHeight="true" outlineLevel="0" collapsed="false">
      <c r="A7" s="5" t="s">
        <v>384</v>
      </c>
      <c r="B7" s="5"/>
      <c r="C7" s="5"/>
      <c r="D7" s="5"/>
      <c r="E7" s="5"/>
    </row>
    <row r="8" customFormat="false" ht="18" hidden="false" customHeight="true" outlineLevel="0" collapsed="false">
      <c r="A8" s="5" t="s">
        <v>385</v>
      </c>
      <c r="B8" s="5"/>
      <c r="C8" s="5"/>
      <c r="D8" s="5"/>
      <c r="E8" s="5"/>
    </row>
    <row r="9" customFormat="false" ht="19.5" hidden="false" customHeight="true" outlineLevel="0" collapsed="false">
      <c r="A9" s="14" t="s">
        <v>386</v>
      </c>
      <c r="B9" s="14"/>
      <c r="C9" s="14"/>
      <c r="D9" s="14"/>
      <c r="E9" s="14"/>
    </row>
    <row r="10" customFormat="false" ht="24" hidden="false" customHeight="true" outlineLevel="0" collapsed="false">
      <c r="A10" s="7" t="s">
        <v>26</v>
      </c>
      <c r="B10" s="7" t="s">
        <v>387</v>
      </c>
      <c r="C10" s="7" t="s">
        <v>388</v>
      </c>
      <c r="D10" s="7" t="s">
        <v>389</v>
      </c>
      <c r="E10" s="7" t="s">
        <v>390</v>
      </c>
    </row>
    <row r="11" customFormat="false" ht="18" hidden="false" customHeight="true" outlineLevel="0" collapsed="false">
      <c r="A11" s="8" t="s">
        <v>391</v>
      </c>
      <c r="B11" s="8"/>
      <c r="C11" s="8"/>
      <c r="D11" s="8"/>
      <c r="E11" s="8"/>
    </row>
    <row r="12" customFormat="false" ht="30" hidden="false" customHeight="true" outlineLevel="0" collapsed="false">
      <c r="A12" s="9" t="s">
        <v>33</v>
      </c>
      <c r="B12" s="5" t="s">
        <v>392</v>
      </c>
      <c r="C12" s="5"/>
      <c r="D12" s="10"/>
      <c r="E12" s="5"/>
    </row>
    <row r="13" customFormat="false" ht="30" hidden="false" customHeight="true" outlineLevel="0" collapsed="false">
      <c r="A13" s="11" t="s">
        <v>39</v>
      </c>
      <c r="B13" s="12" t="s">
        <v>393</v>
      </c>
      <c r="C13" s="12"/>
      <c r="D13" s="13"/>
      <c r="E13" s="12"/>
    </row>
    <row r="14" customFormat="false" ht="30" hidden="false" customHeight="true" outlineLevel="0" collapsed="false">
      <c r="A14" s="9" t="s">
        <v>45</v>
      </c>
      <c r="B14" s="5" t="s">
        <v>394</v>
      </c>
      <c r="C14" s="5"/>
      <c r="D14" s="10"/>
      <c r="E14" s="5"/>
    </row>
    <row r="15" customFormat="false" ht="30" hidden="false" customHeight="true" outlineLevel="0" collapsed="false">
      <c r="A15" s="11" t="s">
        <v>395</v>
      </c>
      <c r="B15" s="12" t="s">
        <v>396</v>
      </c>
      <c r="C15" s="12"/>
      <c r="D15" s="13"/>
      <c r="E15" s="12"/>
    </row>
    <row r="16" customFormat="false" ht="30" hidden="false" customHeight="true" outlineLevel="0" collapsed="false">
      <c r="A16" s="9" t="s">
        <v>397</v>
      </c>
      <c r="B16" s="5" t="s">
        <v>398</v>
      </c>
      <c r="C16" s="5"/>
      <c r="D16" s="10"/>
      <c r="E16" s="5"/>
    </row>
    <row r="17" customFormat="false" ht="19.5" hidden="false" customHeight="true" outlineLevel="0" collapsed="false">
      <c r="A17" s="11" t="s">
        <v>399</v>
      </c>
      <c r="B17" s="22" t="s">
        <v>400</v>
      </c>
      <c r="C17" s="13"/>
      <c r="D17" s="11" t="s">
        <v>401</v>
      </c>
      <c r="E17" s="12"/>
    </row>
    <row r="18" customFormat="false" ht="18" hidden="false" customHeight="true" outlineLevel="0" collapsed="false">
      <c r="A18" s="8" t="s">
        <v>402</v>
      </c>
      <c r="B18" s="8"/>
      <c r="C18" s="8"/>
      <c r="D18" s="8"/>
      <c r="E18" s="8"/>
    </row>
    <row r="19" customFormat="false" ht="30" hidden="false" customHeight="true" outlineLevel="0" collapsed="false">
      <c r="A19" s="9" t="s">
        <v>50</v>
      </c>
      <c r="B19" s="5" t="s">
        <v>403</v>
      </c>
      <c r="C19" s="5"/>
      <c r="D19" s="10"/>
      <c r="E19" s="5"/>
    </row>
    <row r="20" customFormat="false" ht="30" hidden="false" customHeight="true" outlineLevel="0" collapsed="false">
      <c r="A20" s="11" t="s">
        <v>55</v>
      </c>
      <c r="B20" s="12" t="s">
        <v>404</v>
      </c>
      <c r="C20" s="12"/>
      <c r="D20" s="13"/>
      <c r="E20" s="12"/>
    </row>
    <row r="21" customFormat="false" ht="30" hidden="false" customHeight="true" outlineLevel="0" collapsed="false">
      <c r="A21" s="9" t="s">
        <v>61</v>
      </c>
      <c r="B21" s="5" t="s">
        <v>405</v>
      </c>
      <c r="C21" s="5"/>
      <c r="D21" s="10"/>
      <c r="E21" s="5"/>
    </row>
    <row r="22" customFormat="false" ht="30" hidden="false" customHeight="true" outlineLevel="0" collapsed="false">
      <c r="A22" s="11" t="s">
        <v>67</v>
      </c>
      <c r="B22" s="12" t="s">
        <v>406</v>
      </c>
      <c r="C22" s="12"/>
      <c r="D22" s="13"/>
      <c r="E22" s="12"/>
    </row>
    <row r="23" customFormat="false" ht="19.5" hidden="false" customHeight="true" outlineLevel="0" collapsed="false">
      <c r="A23" s="11" t="s">
        <v>399</v>
      </c>
      <c r="B23" s="22" t="s">
        <v>407</v>
      </c>
      <c r="C23" s="13"/>
      <c r="D23" s="11" t="s">
        <v>401</v>
      </c>
      <c r="E23" s="12"/>
    </row>
    <row r="24" customFormat="false" ht="18" hidden="false" customHeight="true" outlineLevel="0" collapsed="false">
      <c r="A24" s="8" t="s">
        <v>408</v>
      </c>
      <c r="B24" s="8"/>
      <c r="C24" s="8"/>
      <c r="D24" s="8"/>
      <c r="E24" s="8"/>
    </row>
    <row r="25" customFormat="false" ht="30" hidden="false" customHeight="true" outlineLevel="0" collapsed="false">
      <c r="A25" s="9" t="s">
        <v>73</v>
      </c>
      <c r="B25" s="5" t="s">
        <v>409</v>
      </c>
      <c r="C25" s="5"/>
      <c r="D25" s="10"/>
      <c r="E25" s="5"/>
    </row>
    <row r="26" customFormat="false" ht="30" hidden="false" customHeight="true" outlineLevel="0" collapsed="false">
      <c r="A26" s="11" t="s">
        <v>78</v>
      </c>
      <c r="B26" s="12" t="s">
        <v>410</v>
      </c>
      <c r="C26" s="12"/>
      <c r="D26" s="13"/>
      <c r="E26" s="12"/>
    </row>
    <row r="27" customFormat="false" ht="30" hidden="false" customHeight="true" outlineLevel="0" collapsed="false">
      <c r="A27" s="9" t="s">
        <v>83</v>
      </c>
      <c r="B27" s="5" t="s">
        <v>411</v>
      </c>
      <c r="C27" s="5"/>
      <c r="D27" s="10"/>
      <c r="E27" s="5"/>
    </row>
    <row r="28" customFormat="false" ht="19.5" hidden="false" customHeight="true" outlineLevel="0" collapsed="false">
      <c r="A28" s="11" t="s">
        <v>399</v>
      </c>
      <c r="B28" s="22" t="s">
        <v>412</v>
      </c>
      <c r="C28" s="13"/>
      <c r="D28" s="11" t="s">
        <v>401</v>
      </c>
      <c r="E28" s="12"/>
    </row>
    <row r="29" customFormat="false" ht="19.5" hidden="false" customHeight="true" outlineLevel="0" collapsed="false">
      <c r="A29" s="3" t="s">
        <v>413</v>
      </c>
      <c r="B29" s="3"/>
      <c r="C29" s="3"/>
      <c r="D29" s="3"/>
      <c r="E29" s="3"/>
    </row>
    <row r="30" customFormat="false" ht="19.5" hidden="false" customHeight="true" outlineLevel="0" collapsed="false">
      <c r="A30" s="23" t="s">
        <v>414</v>
      </c>
      <c r="B30" s="23"/>
      <c r="C30" s="23"/>
      <c r="D30" s="23"/>
      <c r="E30" s="23"/>
    </row>
    <row r="31" customFormat="false" ht="18" hidden="false" customHeight="true" outlineLevel="0" collapsed="false">
      <c r="A31" s="5" t="s">
        <v>415</v>
      </c>
      <c r="B31" s="5"/>
      <c r="C31" s="5"/>
      <c r="D31" s="5"/>
      <c r="E31" s="5"/>
    </row>
    <row r="32" customFormat="false" ht="21.75" hidden="false" customHeight="true" outlineLevel="0" collapsed="false">
      <c r="A32" s="5" t="s">
        <v>416</v>
      </c>
      <c r="B32" s="5"/>
      <c r="C32" s="5"/>
      <c r="D32" s="5"/>
      <c r="E32" s="5"/>
    </row>
    <row r="33" customFormat="false" ht="21.75" hidden="false" customHeight="true" outlineLevel="0" collapsed="false">
      <c r="A33" s="5" t="s">
        <v>417</v>
      </c>
      <c r="B33" s="5"/>
      <c r="C33" s="5"/>
      <c r="D33" s="5"/>
      <c r="E33" s="5"/>
    </row>
    <row r="34" customFormat="false" ht="21.75" hidden="false" customHeight="true" outlineLevel="0" collapsed="false">
      <c r="A34" s="5" t="s">
        <v>418</v>
      </c>
      <c r="B34" s="5"/>
      <c r="C34" s="5"/>
      <c r="D34" s="5"/>
      <c r="E34" s="5"/>
    </row>
    <row r="35" customFormat="false" ht="19.5" hidden="false" customHeight="true" outlineLevel="0" collapsed="false">
      <c r="A35" s="16" t="s">
        <v>419</v>
      </c>
      <c r="B35" s="16"/>
      <c r="C35" s="16"/>
      <c r="D35" s="16"/>
      <c r="E35" s="16"/>
    </row>
  </sheetData>
  <mergeCells count="19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1:E11"/>
    <mergeCell ref="A18:E18"/>
    <mergeCell ref="A24:E24"/>
    <mergeCell ref="A29:E29"/>
    <mergeCell ref="A30:E30"/>
    <mergeCell ref="A31:E31"/>
    <mergeCell ref="A32:E32"/>
    <mergeCell ref="A33:E33"/>
    <mergeCell ref="A34:E34"/>
    <mergeCell ref="A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5" min="5" style="0" width="24"/>
  </cols>
  <sheetData>
    <row r="1" customFormat="false" ht="37.5" hidden="false" customHeight="true" outlineLevel="0" collapsed="false">
      <c r="A1" s="1" t="s">
        <v>420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421</v>
      </c>
      <c r="B2" s="2"/>
      <c r="C2" s="2"/>
      <c r="D2" s="2"/>
      <c r="E2" s="2"/>
    </row>
    <row r="3" customFormat="false" ht="39.75" hidden="false" customHeight="true" outlineLevel="0" collapsed="false">
      <c r="A3" s="6" t="s">
        <v>422</v>
      </c>
      <c r="B3" s="6"/>
      <c r="C3" s="6"/>
      <c r="D3" s="6"/>
      <c r="E3" s="6"/>
    </row>
    <row r="4" customFormat="false" ht="24" hidden="false" customHeight="true" outlineLevel="0" collapsed="false">
      <c r="A4" s="7" t="s">
        <v>26</v>
      </c>
      <c r="B4" s="7" t="s">
        <v>423</v>
      </c>
      <c r="C4" s="7" t="s">
        <v>424</v>
      </c>
      <c r="D4" s="7" t="s">
        <v>425</v>
      </c>
      <c r="E4" s="7" t="s">
        <v>426</v>
      </c>
    </row>
    <row r="5" customFormat="false" ht="18" hidden="false" customHeight="true" outlineLevel="0" collapsed="false">
      <c r="A5" s="8" t="s">
        <v>427</v>
      </c>
      <c r="B5" s="8"/>
      <c r="C5" s="8"/>
      <c r="D5" s="8"/>
      <c r="E5" s="8"/>
    </row>
    <row r="6" customFormat="false" ht="72" hidden="false" customHeight="true" outlineLevel="0" collapsed="false">
      <c r="A6" s="9" t="s">
        <v>146</v>
      </c>
      <c r="B6" s="5" t="s">
        <v>428</v>
      </c>
      <c r="C6" s="5" t="s">
        <v>429</v>
      </c>
      <c r="D6" s="10"/>
      <c r="E6" s="5"/>
    </row>
    <row r="7" customFormat="false" ht="72" hidden="false" customHeight="true" outlineLevel="0" collapsed="false">
      <c r="A7" s="11" t="s">
        <v>152</v>
      </c>
      <c r="B7" s="12" t="s">
        <v>430</v>
      </c>
      <c r="C7" s="12" t="s">
        <v>431</v>
      </c>
      <c r="D7" s="13"/>
      <c r="E7" s="12"/>
    </row>
    <row r="8" customFormat="false" ht="72" hidden="false" customHeight="true" outlineLevel="0" collapsed="false">
      <c r="A8" s="9" t="s">
        <v>157</v>
      </c>
      <c r="B8" s="5" t="s">
        <v>432</v>
      </c>
      <c r="C8" s="5" t="s">
        <v>433</v>
      </c>
      <c r="D8" s="10"/>
      <c r="E8" s="5"/>
    </row>
    <row r="9" customFormat="false" ht="18" hidden="false" customHeight="true" outlineLevel="0" collapsed="false">
      <c r="A9" s="8" t="s">
        <v>434</v>
      </c>
      <c r="B9" s="8"/>
      <c r="C9" s="8"/>
      <c r="D9" s="8"/>
      <c r="E9" s="8"/>
    </row>
    <row r="10" customFormat="false" ht="72" hidden="false" customHeight="true" outlineLevel="0" collapsed="false">
      <c r="A10" s="9" t="s">
        <v>163</v>
      </c>
      <c r="B10" s="5" t="s">
        <v>435</v>
      </c>
      <c r="C10" s="5" t="s">
        <v>436</v>
      </c>
      <c r="D10" s="10"/>
      <c r="E10" s="5"/>
    </row>
    <row r="11" customFormat="false" ht="72" hidden="false" customHeight="true" outlineLevel="0" collapsed="false">
      <c r="A11" s="11" t="s">
        <v>168</v>
      </c>
      <c r="B11" s="12" t="s">
        <v>437</v>
      </c>
      <c r="C11" s="12" t="s">
        <v>438</v>
      </c>
      <c r="D11" s="13"/>
      <c r="E11" s="12"/>
    </row>
    <row r="12" customFormat="false" ht="18" hidden="false" customHeight="true" outlineLevel="0" collapsed="false">
      <c r="A12" s="8" t="s">
        <v>439</v>
      </c>
      <c r="B12" s="8"/>
      <c r="C12" s="8"/>
      <c r="D12" s="8"/>
      <c r="E12" s="8"/>
    </row>
    <row r="13" customFormat="false" ht="72" hidden="false" customHeight="true" outlineLevel="0" collapsed="false">
      <c r="A13" s="9" t="s">
        <v>440</v>
      </c>
      <c r="B13" s="5" t="s">
        <v>441</v>
      </c>
      <c r="C13" s="5" t="s">
        <v>442</v>
      </c>
      <c r="D13" s="10"/>
      <c r="E13" s="5"/>
    </row>
    <row r="14" customFormat="false" ht="72" hidden="false" customHeight="true" outlineLevel="0" collapsed="false">
      <c r="A14" s="11" t="s">
        <v>443</v>
      </c>
      <c r="B14" s="12" t="s">
        <v>444</v>
      </c>
      <c r="C14" s="12" t="s">
        <v>445</v>
      </c>
      <c r="D14" s="13"/>
      <c r="E14" s="12"/>
    </row>
    <row r="15" customFormat="false" ht="72" hidden="false" customHeight="true" outlineLevel="0" collapsed="false">
      <c r="A15" s="9" t="s">
        <v>446</v>
      </c>
      <c r="B15" s="5" t="s">
        <v>447</v>
      </c>
      <c r="C15" s="5" t="s">
        <v>448</v>
      </c>
      <c r="D15" s="10"/>
      <c r="E15" s="5"/>
    </row>
    <row r="16" customFormat="false" ht="18" hidden="false" customHeight="true" outlineLevel="0" collapsed="false">
      <c r="A16" s="8" t="s">
        <v>449</v>
      </c>
      <c r="B16" s="8"/>
      <c r="C16" s="8"/>
      <c r="D16" s="8"/>
      <c r="E16" s="8"/>
    </row>
    <row r="17" customFormat="false" ht="72" hidden="false" customHeight="true" outlineLevel="0" collapsed="false">
      <c r="A17" s="9" t="s">
        <v>450</v>
      </c>
      <c r="B17" s="5" t="s">
        <v>451</v>
      </c>
      <c r="C17" s="5" t="s">
        <v>452</v>
      </c>
      <c r="D17" s="10"/>
      <c r="E17" s="5"/>
    </row>
    <row r="18" customFormat="false" ht="72" hidden="false" customHeight="true" outlineLevel="0" collapsed="false">
      <c r="A18" s="11" t="s">
        <v>453</v>
      </c>
      <c r="B18" s="12" t="s">
        <v>454</v>
      </c>
      <c r="C18" s="12" t="s">
        <v>455</v>
      </c>
      <c r="D18" s="13"/>
      <c r="E18" s="12"/>
    </row>
  </sheetData>
  <mergeCells count="7">
    <mergeCell ref="A1:E1"/>
    <mergeCell ref="A2:E2"/>
    <mergeCell ref="A3:E3"/>
    <mergeCell ref="A5:E5"/>
    <mergeCell ref="A9:E9"/>
    <mergeCell ref="A12:E12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30"/>
  </cols>
  <sheetData>
    <row r="1" customFormat="false" ht="37.5" hidden="false" customHeight="true" outlineLevel="0" collapsed="false">
      <c r="A1" s="1" t="s">
        <v>456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457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458</v>
      </c>
      <c r="B3" s="3"/>
      <c r="C3" s="3"/>
      <c r="D3" s="3"/>
      <c r="E3" s="3"/>
      <c r="F3" s="3"/>
    </row>
    <row r="4" customFormat="false" ht="18" hidden="false" customHeight="true" outlineLevel="0" collapsed="false">
      <c r="A4" s="5" t="s">
        <v>459</v>
      </c>
      <c r="B4" s="5"/>
      <c r="C4" s="5"/>
      <c r="D4" s="5"/>
      <c r="E4" s="5"/>
      <c r="F4" s="5"/>
    </row>
    <row r="5" customFormat="false" ht="18" hidden="false" customHeight="true" outlineLevel="0" collapsed="false">
      <c r="A5" s="5" t="s">
        <v>460</v>
      </c>
      <c r="B5" s="5"/>
      <c r="C5" s="5"/>
      <c r="D5" s="5"/>
      <c r="E5" s="5"/>
      <c r="F5" s="5"/>
    </row>
    <row r="6" customFormat="false" ht="18" hidden="false" customHeight="true" outlineLevel="0" collapsed="false">
      <c r="A6" s="5" t="s">
        <v>461</v>
      </c>
      <c r="B6" s="5"/>
      <c r="C6" s="5"/>
      <c r="D6" s="5"/>
      <c r="E6" s="5"/>
      <c r="F6" s="5"/>
    </row>
    <row r="7" customFormat="false" ht="19.5" hidden="false" customHeight="true" outlineLevel="0" collapsed="false">
      <c r="A7" s="3" t="s">
        <v>462</v>
      </c>
      <c r="B7" s="3"/>
      <c r="C7" s="3"/>
      <c r="D7" s="3"/>
      <c r="E7" s="3"/>
      <c r="F7" s="3"/>
    </row>
    <row r="8" customFormat="false" ht="24" hidden="false" customHeight="true" outlineLevel="0" collapsed="false">
      <c r="A8" s="7" t="s">
        <v>282</v>
      </c>
      <c r="B8" s="7" t="s">
        <v>142</v>
      </c>
      <c r="C8" s="7" t="s">
        <v>425</v>
      </c>
      <c r="D8" s="7" t="s">
        <v>463</v>
      </c>
      <c r="E8" s="7" t="s">
        <v>464</v>
      </c>
      <c r="F8" s="7" t="s">
        <v>465</v>
      </c>
    </row>
    <row r="9" customFormat="false" ht="21.75" hidden="false" customHeight="true" outlineLevel="0" collapsed="false">
      <c r="A9" s="17" t="s">
        <v>466</v>
      </c>
      <c r="B9" s="10" t="s">
        <v>467</v>
      </c>
      <c r="C9" s="10"/>
      <c r="D9" s="10" t="str">
        <f aca="false">IF(C9="","",C9*0.3)</f>
        <v/>
      </c>
      <c r="E9" s="10" t="s">
        <v>468</v>
      </c>
      <c r="F9" s="5"/>
    </row>
    <row r="10" customFormat="false" ht="21.75" hidden="false" customHeight="true" outlineLevel="0" collapsed="false">
      <c r="A10" s="22" t="s">
        <v>469</v>
      </c>
      <c r="B10" s="13" t="s">
        <v>170</v>
      </c>
      <c r="C10" s="13"/>
      <c r="D10" s="13" t="str">
        <f aca="false">IF(C10="","",C10*0.2)</f>
        <v/>
      </c>
      <c r="E10" s="13" t="s">
        <v>468</v>
      </c>
      <c r="F10" s="12"/>
    </row>
    <row r="11" customFormat="false" ht="21.75" hidden="false" customHeight="true" outlineLevel="0" collapsed="false">
      <c r="A11" s="17" t="s">
        <v>470</v>
      </c>
      <c r="B11" s="10" t="s">
        <v>170</v>
      </c>
      <c r="C11" s="10"/>
      <c r="D11" s="10" t="str">
        <f aca="false">IF(C11="","",C11*0.2)</f>
        <v/>
      </c>
      <c r="E11" s="10" t="s">
        <v>468</v>
      </c>
      <c r="F11" s="5"/>
    </row>
    <row r="12" customFormat="false" ht="21.75" hidden="false" customHeight="true" outlineLevel="0" collapsed="false">
      <c r="A12" s="22" t="s">
        <v>471</v>
      </c>
      <c r="B12" s="13" t="s">
        <v>159</v>
      </c>
      <c r="C12" s="13"/>
      <c r="D12" s="13" t="str">
        <f aca="false">IF(C12="","",C12*0.15)</f>
        <v/>
      </c>
      <c r="E12" s="13" t="s">
        <v>468</v>
      </c>
      <c r="F12" s="12"/>
    </row>
    <row r="13" customFormat="false" ht="21.75" hidden="false" customHeight="true" outlineLevel="0" collapsed="false">
      <c r="A13" s="17" t="s">
        <v>472</v>
      </c>
      <c r="B13" s="10" t="s">
        <v>216</v>
      </c>
      <c r="C13" s="10"/>
      <c r="D13" s="10" t="str">
        <f aca="false">IF(C13="","",C13*0.1)</f>
        <v/>
      </c>
      <c r="E13" s="10" t="s">
        <v>468</v>
      </c>
      <c r="F13" s="5"/>
    </row>
    <row r="14" customFormat="false" ht="21.75" hidden="false" customHeight="true" outlineLevel="0" collapsed="false">
      <c r="A14" s="22" t="s">
        <v>473</v>
      </c>
      <c r="B14" s="13" t="s">
        <v>474</v>
      </c>
      <c r="C14" s="13"/>
      <c r="D14" s="13" t="str">
        <f aca="false">IF(C14="","",C14*0.05)</f>
        <v/>
      </c>
      <c r="E14" s="13" t="s">
        <v>468</v>
      </c>
      <c r="F14" s="12"/>
    </row>
    <row r="15" customFormat="false" ht="21.75" hidden="false" customHeight="true" outlineLevel="0" collapsed="false">
      <c r="A15" s="14" t="s">
        <v>475</v>
      </c>
      <c r="B15" s="8"/>
      <c r="C15" s="8"/>
      <c r="D15" s="7" t="n">
        <f aca="false">SUM(D9:D14)</f>
        <v>0</v>
      </c>
      <c r="E15" s="8"/>
      <c r="F15" s="8"/>
    </row>
    <row r="16" customFormat="false" ht="19.5" hidden="false" customHeight="true" outlineLevel="0" collapsed="false">
      <c r="A16" s="3" t="s">
        <v>476</v>
      </c>
      <c r="B16" s="3"/>
      <c r="C16" s="3"/>
      <c r="D16" s="3"/>
      <c r="E16" s="3"/>
      <c r="F16" s="3"/>
    </row>
    <row r="17" customFormat="false" ht="19.5" hidden="false" customHeight="true" outlineLevel="0" collapsed="false">
      <c r="A17" s="5" t="s">
        <v>477</v>
      </c>
      <c r="B17" s="5"/>
      <c r="C17" s="5"/>
      <c r="D17" s="5"/>
      <c r="E17" s="5"/>
      <c r="F17" s="5"/>
    </row>
    <row r="18" customFormat="false" ht="19.5" hidden="false" customHeight="true" outlineLevel="0" collapsed="false">
      <c r="A18" s="5" t="s">
        <v>478</v>
      </c>
      <c r="B18" s="5"/>
      <c r="C18" s="5"/>
      <c r="D18" s="5"/>
      <c r="E18" s="5"/>
      <c r="F18" s="5"/>
    </row>
    <row r="19" customFormat="false" ht="19.5" hidden="false" customHeight="true" outlineLevel="0" collapsed="false">
      <c r="A19" s="5" t="s">
        <v>479</v>
      </c>
      <c r="B19" s="5"/>
      <c r="C19" s="5"/>
      <c r="D19" s="5"/>
      <c r="E19" s="5"/>
      <c r="F19" s="5"/>
    </row>
    <row r="20" customFormat="false" ht="19.5" hidden="false" customHeight="true" outlineLevel="0" collapsed="false">
      <c r="A20" s="5" t="s">
        <v>480</v>
      </c>
      <c r="B20" s="5"/>
      <c r="C20" s="5"/>
      <c r="D20" s="5"/>
      <c r="E20" s="5"/>
      <c r="F20" s="5"/>
    </row>
    <row r="21" customFormat="false" ht="19.5" hidden="false" customHeight="true" outlineLevel="0" collapsed="false">
      <c r="A21" s="5" t="s">
        <v>481</v>
      </c>
      <c r="B21" s="5"/>
      <c r="C21" s="5"/>
      <c r="D21" s="5"/>
      <c r="E21" s="5"/>
      <c r="F21" s="5"/>
    </row>
    <row r="22" customFormat="false" ht="19.5" hidden="false" customHeight="true" outlineLevel="0" collapsed="false">
      <c r="A22" s="3" t="s">
        <v>482</v>
      </c>
      <c r="B22" s="3"/>
      <c r="C22" s="3"/>
      <c r="D22" s="3"/>
      <c r="E22" s="3"/>
      <c r="F22" s="3"/>
    </row>
    <row r="23" customFormat="false" ht="21.75" hidden="false" customHeight="true" outlineLevel="0" collapsed="false">
      <c r="A23" s="17" t="s">
        <v>483</v>
      </c>
      <c r="B23" s="5" t="s">
        <v>484</v>
      </c>
      <c r="C23" s="5"/>
      <c r="D23" s="5"/>
      <c r="E23" s="5"/>
      <c r="F23" s="5"/>
    </row>
    <row r="24" customFormat="false" ht="21.75" hidden="false" customHeight="true" outlineLevel="0" collapsed="false">
      <c r="A24" s="22" t="s">
        <v>485</v>
      </c>
      <c r="B24" s="12" t="s">
        <v>486</v>
      </c>
      <c r="C24" s="12"/>
      <c r="D24" s="12"/>
      <c r="E24" s="12"/>
      <c r="F24" s="12"/>
    </row>
    <row r="25" customFormat="false" ht="21.75" hidden="false" customHeight="true" outlineLevel="0" collapsed="false">
      <c r="A25" s="17" t="s">
        <v>487</v>
      </c>
      <c r="B25" s="5" t="s">
        <v>488</v>
      </c>
      <c r="C25" s="5"/>
      <c r="D25" s="5"/>
      <c r="E25" s="5"/>
      <c r="F25" s="5"/>
    </row>
  </sheetData>
  <mergeCells count="17">
    <mergeCell ref="A1:F1"/>
    <mergeCell ref="A2:F2"/>
    <mergeCell ref="A3:F3"/>
    <mergeCell ref="A4:F4"/>
    <mergeCell ref="A5:F5"/>
    <mergeCell ref="A6:F6"/>
    <mergeCell ref="A7:F7"/>
    <mergeCell ref="A16:F16"/>
    <mergeCell ref="A17:F17"/>
    <mergeCell ref="A18:F18"/>
    <mergeCell ref="A19:F19"/>
    <mergeCell ref="A20:F20"/>
    <mergeCell ref="A21:F21"/>
    <mergeCell ref="A22:F22"/>
    <mergeCell ref="B23:F23"/>
    <mergeCell ref="B24:F24"/>
    <mergeCell ref="B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54"/>
    <col collapsed="false" customWidth="true" hidden="false" outlineLevel="0" max="4" min="4" style="0" width="22"/>
    <col collapsed="false" customWidth="true" hidden="false" outlineLevel="0" max="5" min="5" style="0" width="12"/>
  </cols>
  <sheetData>
    <row r="1" customFormat="false" ht="37.5" hidden="false" customHeight="true" outlineLevel="0" collapsed="false">
      <c r="A1" s="1" t="s">
        <v>489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490</v>
      </c>
      <c r="B2" s="2"/>
      <c r="C2" s="2"/>
      <c r="D2" s="2"/>
      <c r="E2" s="2"/>
    </row>
    <row r="3" customFormat="false" ht="33.75" hidden="false" customHeight="true" outlineLevel="0" collapsed="false">
      <c r="A3" s="6" t="s">
        <v>491</v>
      </c>
      <c r="B3" s="6"/>
      <c r="C3" s="6"/>
      <c r="D3" s="6"/>
      <c r="E3" s="6"/>
    </row>
    <row r="4" customFormat="false" ht="33.75" hidden="false" customHeight="true" outlineLevel="0" collapsed="false">
      <c r="A4" s="6" t="s">
        <v>492</v>
      </c>
      <c r="B4" s="6"/>
      <c r="C4" s="6"/>
      <c r="D4" s="6"/>
      <c r="E4" s="6"/>
    </row>
    <row r="5" customFormat="false" ht="24" hidden="false" customHeight="true" outlineLevel="0" collapsed="false">
      <c r="A5" s="7" t="s">
        <v>493</v>
      </c>
      <c r="B5" s="7" t="s">
        <v>494</v>
      </c>
      <c r="C5" s="7" t="s">
        <v>495</v>
      </c>
      <c r="D5" s="7" t="s">
        <v>496</v>
      </c>
      <c r="E5" s="7" t="s">
        <v>497</v>
      </c>
    </row>
    <row r="6" customFormat="false" ht="18" hidden="false" customHeight="true" outlineLevel="0" collapsed="false">
      <c r="A6" s="8" t="s">
        <v>498</v>
      </c>
      <c r="B6" s="8"/>
      <c r="C6" s="8"/>
      <c r="D6" s="8"/>
      <c r="E6" s="8"/>
    </row>
    <row r="7" customFormat="false" ht="55.5" hidden="false" customHeight="true" outlineLevel="0" collapsed="false">
      <c r="A7" s="9" t="s">
        <v>499</v>
      </c>
      <c r="B7" s="5" t="s">
        <v>500</v>
      </c>
      <c r="C7" s="5" t="s">
        <v>501</v>
      </c>
      <c r="D7" s="10" t="s">
        <v>38</v>
      </c>
      <c r="E7" s="10" t="s">
        <v>502</v>
      </c>
    </row>
    <row r="8" customFormat="false" ht="55.5" hidden="false" customHeight="true" outlineLevel="0" collapsed="false">
      <c r="A8" s="11" t="s">
        <v>499</v>
      </c>
      <c r="B8" s="12" t="s">
        <v>503</v>
      </c>
      <c r="C8" s="12" t="s">
        <v>504</v>
      </c>
      <c r="D8" s="13" t="s">
        <v>505</v>
      </c>
      <c r="E8" s="13" t="s">
        <v>502</v>
      </c>
    </row>
    <row r="9" customFormat="false" ht="55.5" hidden="false" customHeight="true" outlineLevel="0" collapsed="false">
      <c r="A9" s="9" t="s">
        <v>258</v>
      </c>
      <c r="B9" s="5" t="s">
        <v>506</v>
      </c>
      <c r="C9" s="5" t="s">
        <v>507</v>
      </c>
      <c r="D9" s="10" t="s">
        <v>54</v>
      </c>
      <c r="E9" s="10" t="s">
        <v>502</v>
      </c>
    </row>
    <row r="10" customFormat="false" ht="55.5" hidden="false" customHeight="true" outlineLevel="0" collapsed="false">
      <c r="A10" s="11" t="s">
        <v>508</v>
      </c>
      <c r="B10" s="12" t="s">
        <v>509</v>
      </c>
      <c r="C10" s="12" t="s">
        <v>510</v>
      </c>
      <c r="D10" s="13" t="s">
        <v>71</v>
      </c>
      <c r="E10" s="13" t="s">
        <v>502</v>
      </c>
    </row>
    <row r="11" customFormat="false" ht="55.5" hidden="false" customHeight="true" outlineLevel="0" collapsed="false">
      <c r="A11" s="9" t="s">
        <v>511</v>
      </c>
      <c r="B11" s="5" t="s">
        <v>512</v>
      </c>
      <c r="C11" s="5" t="s">
        <v>513</v>
      </c>
      <c r="D11" s="10" t="s">
        <v>87</v>
      </c>
      <c r="E11" s="10" t="s">
        <v>502</v>
      </c>
    </row>
    <row r="12" customFormat="false" ht="55.5" hidden="false" customHeight="true" outlineLevel="0" collapsed="false">
      <c r="A12" s="11" t="s">
        <v>514</v>
      </c>
      <c r="B12" s="12" t="s">
        <v>515</v>
      </c>
      <c r="C12" s="12" t="s">
        <v>516</v>
      </c>
      <c r="D12" s="13" t="s">
        <v>98</v>
      </c>
      <c r="E12" s="13" t="s">
        <v>502</v>
      </c>
    </row>
    <row r="13" customFormat="false" ht="55.5" hidden="false" customHeight="true" outlineLevel="0" collapsed="false">
      <c r="A13" s="9" t="s">
        <v>514</v>
      </c>
      <c r="B13" s="5" t="s">
        <v>517</v>
      </c>
      <c r="C13" s="5" t="s">
        <v>518</v>
      </c>
      <c r="D13" s="10" t="s">
        <v>54</v>
      </c>
      <c r="E13" s="10" t="s">
        <v>502</v>
      </c>
    </row>
    <row r="14" customFormat="false" ht="51.75" hidden="false" customHeight="true" outlineLevel="0" collapsed="false">
      <c r="A14" s="24" t="s">
        <v>519</v>
      </c>
      <c r="B14" s="24" t="s">
        <v>520</v>
      </c>
      <c r="C14" s="20"/>
      <c r="D14" s="25"/>
      <c r="E14" s="25"/>
    </row>
    <row r="15" customFormat="false" ht="18" hidden="false" customHeight="true" outlineLevel="0" collapsed="false">
      <c r="A15" s="8" t="s">
        <v>521</v>
      </c>
      <c r="B15" s="8"/>
      <c r="C15" s="8"/>
      <c r="D15" s="8"/>
      <c r="E15" s="8"/>
    </row>
    <row r="16" customFormat="false" ht="55.5" hidden="false" customHeight="true" outlineLevel="0" collapsed="false">
      <c r="A16" s="11" t="s">
        <v>522</v>
      </c>
      <c r="B16" s="12" t="s">
        <v>523</v>
      </c>
      <c r="C16" s="12" t="s">
        <v>524</v>
      </c>
      <c r="D16" s="13" t="s">
        <v>98</v>
      </c>
      <c r="E16" s="13" t="s">
        <v>502</v>
      </c>
    </row>
    <row r="17" customFormat="false" ht="55.5" hidden="false" customHeight="true" outlineLevel="0" collapsed="false">
      <c r="A17" s="9" t="s">
        <v>525</v>
      </c>
      <c r="B17" s="5" t="s">
        <v>526</v>
      </c>
      <c r="C17" s="5" t="s">
        <v>527</v>
      </c>
      <c r="D17" s="10" t="s">
        <v>60</v>
      </c>
      <c r="E17" s="10" t="s">
        <v>502</v>
      </c>
    </row>
    <row r="18" customFormat="false" ht="55.5" hidden="false" customHeight="true" outlineLevel="0" collapsed="false">
      <c r="A18" s="11" t="s">
        <v>528</v>
      </c>
      <c r="B18" s="12" t="s">
        <v>529</v>
      </c>
      <c r="C18" s="12" t="s">
        <v>530</v>
      </c>
      <c r="D18" s="13" t="s">
        <v>71</v>
      </c>
      <c r="E18" s="13" t="s">
        <v>502</v>
      </c>
    </row>
    <row r="19" customFormat="false" ht="55.5" hidden="false" customHeight="true" outlineLevel="0" collapsed="false">
      <c r="A19" s="9" t="s">
        <v>531</v>
      </c>
      <c r="B19" s="5" t="s">
        <v>532</v>
      </c>
      <c r="C19" s="5" t="s">
        <v>533</v>
      </c>
      <c r="D19" s="10" t="s">
        <v>87</v>
      </c>
      <c r="E19" s="10" t="s">
        <v>502</v>
      </c>
    </row>
    <row r="20" customFormat="false" ht="55.5" hidden="false" customHeight="true" outlineLevel="0" collapsed="false">
      <c r="A20" s="11" t="s">
        <v>531</v>
      </c>
      <c r="B20" s="12" t="s">
        <v>534</v>
      </c>
      <c r="C20" s="12" t="s">
        <v>535</v>
      </c>
      <c r="D20" s="13" t="s">
        <v>54</v>
      </c>
      <c r="E20" s="13" t="s">
        <v>502</v>
      </c>
    </row>
    <row r="21" customFormat="false" ht="51.75" hidden="false" customHeight="true" outlineLevel="0" collapsed="false">
      <c r="A21" s="24" t="s">
        <v>536</v>
      </c>
      <c r="B21" s="24" t="s">
        <v>537</v>
      </c>
      <c r="C21" s="20"/>
      <c r="D21" s="25"/>
      <c r="E21" s="25"/>
    </row>
    <row r="22" customFormat="false" ht="18" hidden="false" customHeight="true" outlineLevel="0" collapsed="false">
      <c r="A22" s="8" t="s">
        <v>538</v>
      </c>
      <c r="B22" s="8"/>
      <c r="C22" s="8"/>
      <c r="D22" s="8"/>
      <c r="E22" s="8"/>
    </row>
    <row r="23" customFormat="false" ht="55.5" hidden="false" customHeight="true" outlineLevel="0" collapsed="false">
      <c r="A23" s="9" t="s">
        <v>539</v>
      </c>
      <c r="B23" s="5" t="s">
        <v>540</v>
      </c>
      <c r="C23" s="5" t="s">
        <v>541</v>
      </c>
      <c r="D23" s="10" t="s">
        <v>54</v>
      </c>
      <c r="E23" s="10" t="s">
        <v>502</v>
      </c>
    </row>
    <row r="24" customFormat="false" ht="55.5" hidden="false" customHeight="true" outlineLevel="0" collapsed="false">
      <c r="A24" s="11" t="s">
        <v>542</v>
      </c>
      <c r="B24" s="12" t="s">
        <v>543</v>
      </c>
      <c r="C24" s="12" t="s">
        <v>544</v>
      </c>
      <c r="D24" s="13" t="s">
        <v>71</v>
      </c>
      <c r="E24" s="13" t="s">
        <v>502</v>
      </c>
    </row>
    <row r="25" customFormat="false" ht="55.5" hidden="false" customHeight="true" outlineLevel="0" collapsed="false">
      <c r="A25" s="9" t="s">
        <v>545</v>
      </c>
      <c r="B25" s="5" t="s">
        <v>546</v>
      </c>
      <c r="C25" s="5" t="s">
        <v>547</v>
      </c>
      <c r="D25" s="10" t="s">
        <v>118</v>
      </c>
      <c r="E25" s="10" t="s">
        <v>502</v>
      </c>
    </row>
    <row r="26" customFormat="false" ht="55.5" hidden="false" customHeight="true" outlineLevel="0" collapsed="false">
      <c r="A26" s="11" t="s">
        <v>548</v>
      </c>
      <c r="B26" s="12" t="s">
        <v>549</v>
      </c>
      <c r="C26" s="12" t="s">
        <v>550</v>
      </c>
      <c r="D26" s="13" t="s">
        <v>38</v>
      </c>
      <c r="E26" s="13" t="s">
        <v>502</v>
      </c>
    </row>
    <row r="27" customFormat="false" ht="51.75" hidden="false" customHeight="true" outlineLevel="0" collapsed="false">
      <c r="A27" s="24" t="s">
        <v>551</v>
      </c>
      <c r="B27" s="24" t="s">
        <v>552</v>
      </c>
      <c r="C27" s="20"/>
      <c r="D27" s="25"/>
      <c r="E27" s="25"/>
    </row>
  </sheetData>
  <mergeCells count="7">
    <mergeCell ref="A1:E1"/>
    <mergeCell ref="A2:E2"/>
    <mergeCell ref="A3:E3"/>
    <mergeCell ref="A4:E4"/>
    <mergeCell ref="A6:E6"/>
    <mergeCell ref="A15:E15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4" min="3" style="0" width="40"/>
    <col collapsed="false" customWidth="true" hidden="false" outlineLevel="0" max="5" min="5" style="0" width="16"/>
  </cols>
  <sheetData>
    <row r="1" customFormat="false" ht="37.5" hidden="false" customHeight="true" outlineLevel="0" collapsed="false">
      <c r="A1" s="1" t="s">
        <v>553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554</v>
      </c>
      <c r="B2" s="2"/>
      <c r="C2" s="2"/>
      <c r="D2" s="2"/>
      <c r="E2" s="2"/>
    </row>
    <row r="3" customFormat="false" ht="24" hidden="false" customHeight="true" outlineLevel="0" collapsed="false">
      <c r="A3" s="7" t="s">
        <v>248</v>
      </c>
      <c r="B3" s="7" t="s">
        <v>249</v>
      </c>
      <c r="C3" s="7" t="s">
        <v>250</v>
      </c>
      <c r="D3" s="7" t="s">
        <v>251</v>
      </c>
      <c r="E3" s="7" t="s">
        <v>253</v>
      </c>
    </row>
    <row r="4" customFormat="false" ht="45.75" hidden="false" customHeight="true" outlineLevel="0" collapsed="false">
      <c r="A4" s="9" t="s">
        <v>555</v>
      </c>
      <c r="B4" s="5" t="s">
        <v>255</v>
      </c>
      <c r="C4" s="5" t="s">
        <v>556</v>
      </c>
      <c r="D4" s="5" t="s">
        <v>557</v>
      </c>
      <c r="E4" s="10" t="s">
        <v>558</v>
      </c>
    </row>
    <row r="5" customFormat="false" ht="45.75" hidden="false" customHeight="true" outlineLevel="0" collapsed="false">
      <c r="A5" s="11" t="s">
        <v>559</v>
      </c>
      <c r="B5" s="12" t="s">
        <v>260</v>
      </c>
      <c r="C5" s="12" t="s">
        <v>560</v>
      </c>
      <c r="D5" s="12" t="s">
        <v>561</v>
      </c>
      <c r="E5" s="13" t="s">
        <v>562</v>
      </c>
    </row>
    <row r="6" customFormat="false" ht="45.75" hidden="false" customHeight="true" outlineLevel="0" collapsed="false">
      <c r="A6" s="9" t="s">
        <v>563</v>
      </c>
      <c r="B6" s="5" t="s">
        <v>564</v>
      </c>
      <c r="C6" s="5" t="s">
        <v>565</v>
      </c>
      <c r="D6" s="5" t="s">
        <v>566</v>
      </c>
      <c r="E6" s="10" t="s">
        <v>269</v>
      </c>
    </row>
    <row r="7" customFormat="false" ht="45.75" hidden="false" customHeight="true" outlineLevel="0" collapsed="false">
      <c r="A7" s="11" t="s">
        <v>567</v>
      </c>
      <c r="B7" s="12" t="s">
        <v>568</v>
      </c>
      <c r="C7" s="12" t="s">
        <v>569</v>
      </c>
      <c r="D7" s="12" t="s">
        <v>570</v>
      </c>
      <c r="E7" s="13" t="s">
        <v>571</v>
      </c>
    </row>
    <row r="8" customFormat="false" ht="19.5" hidden="false" customHeight="true" outlineLevel="0" collapsed="false">
      <c r="A8" s="3" t="s">
        <v>572</v>
      </c>
      <c r="B8" s="3"/>
      <c r="C8" s="3"/>
      <c r="D8" s="3"/>
      <c r="E8" s="3"/>
    </row>
    <row r="9" customFormat="false" ht="33.75" hidden="false" customHeight="true" outlineLevel="0" collapsed="false">
      <c r="A9" s="5" t="s">
        <v>573</v>
      </c>
      <c r="B9" s="5"/>
      <c r="C9" s="5"/>
      <c r="D9" s="5"/>
      <c r="E9" s="5"/>
    </row>
    <row r="10" customFormat="false" ht="33.75" hidden="false" customHeight="true" outlineLevel="0" collapsed="false">
      <c r="A10" s="5" t="s">
        <v>574</v>
      </c>
      <c r="B10" s="5"/>
      <c r="C10" s="5"/>
      <c r="D10" s="5"/>
      <c r="E10" s="5"/>
    </row>
    <row r="11" customFormat="false" ht="33.75" hidden="false" customHeight="true" outlineLevel="0" collapsed="false">
      <c r="A11" s="5" t="s">
        <v>575</v>
      </c>
      <c r="B11" s="5"/>
      <c r="C11" s="5"/>
      <c r="D11" s="5"/>
      <c r="E11" s="5"/>
    </row>
    <row r="12" customFormat="false" ht="19.5" hidden="false" customHeight="true" outlineLevel="0" collapsed="false">
      <c r="A12" s="3" t="s">
        <v>576</v>
      </c>
      <c r="B12" s="3"/>
      <c r="C12" s="3"/>
      <c r="D12" s="3"/>
      <c r="E12" s="3"/>
    </row>
    <row r="13" customFormat="false" ht="24" hidden="false" customHeight="true" outlineLevel="0" collapsed="false">
      <c r="A13" s="26" t="s">
        <v>577</v>
      </c>
      <c r="B13" s="26"/>
      <c r="C13" s="26"/>
      <c r="D13" s="26"/>
      <c r="E13" s="26"/>
    </row>
    <row r="14" customFormat="false" ht="24" hidden="false" customHeight="true" outlineLevel="0" collapsed="false">
      <c r="A14" s="26" t="s">
        <v>578</v>
      </c>
      <c r="B14" s="26"/>
      <c r="C14" s="26"/>
      <c r="D14" s="26"/>
      <c r="E14" s="26"/>
    </row>
    <row r="15" customFormat="false" ht="24" hidden="false" customHeight="true" outlineLevel="0" collapsed="false">
      <c r="A15" s="26" t="s">
        <v>579</v>
      </c>
      <c r="B15" s="26"/>
      <c r="C15" s="26"/>
      <c r="D15" s="26"/>
      <c r="E15" s="26"/>
    </row>
  </sheetData>
  <mergeCells count="10">
    <mergeCell ref="A1:E1"/>
    <mergeCell ref="A2:E2"/>
    <mergeCell ref="A8:E8"/>
    <mergeCell ref="A9:E9"/>
    <mergeCell ref="A10:E10"/>
    <mergeCell ref="A11:E11"/>
    <mergeCell ref="A12:E12"/>
    <mergeCell ref="A13:E13"/>
    <mergeCell ref="A14:E14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2026-06-03T16:30:11Z</dcterms:created>
  <dc:creator>openpyxl</dc:creator>
  <dc:description/>
  <dc:language>en-US</dc:language>
  <cp:lastModifiedBy/>
  <dcterms:modified xsi:type="dcterms:W3CDTF">2026-06-03T16:30:11Z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