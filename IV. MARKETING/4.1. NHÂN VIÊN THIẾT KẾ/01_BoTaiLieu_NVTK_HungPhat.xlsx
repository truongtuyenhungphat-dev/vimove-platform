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ô tả công việc" sheetId="1" state="visible" r:id="rId3"/>
    <sheet name="Khung năng lực" sheetId="2" state="visible" r:id="rId4"/>
    <sheet name="Phiếu đánh giá cá nhân" sheetId="3" state="visible" r:id="rId5"/>
    <sheet name="Câu hỏi phỏng vấn" sheetId="4" state="visible" r:id="rId6"/>
    <sheet name="Score Card ứng viên" sheetId="5" state="visible" r:id="rId7"/>
    <sheet name="Kế hoạch 30-60-90 ngày" sheetId="6" state="visible" r:id="rId8"/>
    <sheet name="Lộ trình phát triể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<sst xmlns="http://schemas.openxmlformats.org/spreadsheetml/2006/main" count="706" uniqueCount="518">
  <si>
    <t xml:space="preserve">MÔ TẢ CÔNG VIỆC – NHÂN VIÊN THIẾT KẾ (GRAPHIC DESIGNER)</t>
  </si>
  <si>
    <t xml:space="preserve">CTCP Hùng Phát | Nhóm Thiết kế | Mã vị trí: NVTK | Phiên bản v1.0</t>
  </si>
  <si>
    <t xml:space="preserve">▌ I. THÔNG TIN CHUNG</t>
  </si>
  <si>
    <t xml:space="preserve">Chức danh</t>
  </si>
  <si>
    <t xml:space="preserve">Nhân viên Thiết kế (Graphic Designer) (Graphic Designer)</t>
  </si>
  <si>
    <t xml:space="preserve">Mã vị trí</t>
  </si>
  <si>
    <t xml:space="preserve">NVTK</t>
  </si>
  <si>
    <t xml:space="preserve">Phòng / Nhóm</t>
  </si>
  <si>
    <t xml:space="preserve">Phòng Marketing – Nhóm Thiết kế (Đồ họa &amp; Sáng tạo)</t>
  </si>
  <si>
    <t xml:space="preserve">Cấp báo cáo</t>
  </si>
  <si>
    <t xml:space="preserve">Chuyên viên Thiết kế / Trưởng phòng Marketing</t>
  </si>
  <si>
    <t xml:space="preserve">Cấp dưới trực tiếp</t>
  </si>
  <si>
    <t xml:space="preserve">Không có (vị trí cá nhân – Individual Contributor)</t>
  </si>
  <si>
    <t xml:space="preserve">Tính chất vị trí</t>
  </si>
  <si>
    <t xml:space="preserve">Hands-on: trực tiếp thực thi thiết kế đa định dạng theo brief &amp; nhận diện thương hiệu</t>
  </si>
  <si>
    <t xml:space="preserve">Phạm vi thiết kế</t>
  </si>
  <si>
    <t xml:space="preserve">Social/KV/ads creative · Packaging artwork · Sàn TMĐT/Web · Ấn phẩm thương hiệu</t>
  </si>
  <si>
    <t xml:space="preserve">Quan hệ trong Marketing</t>
  </si>
  <si>
    <t xml:space="preserve">Content cung cấp nội dung – Media phân phối – Thiết kế tạo hình ảnh đúng nhận diện</t>
  </si>
  <si>
    <t xml:space="preserve">Địa điểm / Ca</t>
  </si>
  <si>
    <t xml:space="preserve">Văn phòng HP; làm việc tại máy thiết kế, phối hợp chụp sản phẩm khi cần | Giờ hành chính; linh hoạt theo lịch chiến dịch &amp; ra mắt sản phẩm</t>
  </si>
  <si>
    <t xml:space="preserve">Ngày hiệu lực / JD</t>
  </si>
  <si>
    <t xml:space="preserve">___/___/______ | v1.0</t>
  </si>
  <si>
    <t xml:space="preserve">▌ II. MỤC ĐÍCH VỊ TRÍ</t>
  </si>
  <si>
    <t xml:space="preserve">Nhân viên Thiết kế trực tiếp thực thi các sản phẩm thiết kế đồ họa của HP (social post, key visual, banner, ads creative, packaging artwork, thiết kế gian hàng sàn TMĐT/web, ấn phẩm) theo brief &amp; nhận diện thương hiệu. Vị trí biến concept/định hướng nghệ thuật của Chuyên viên/Trưởng nhóm Thiết kế thành sản phẩm hoàn thiện đạt chuẩn brand &amp; kỹ thuật, đúng deadline. Đây là vị trí HANDS-ON: tự thiết kế, dùng thành thạo công cụ (gồm AI design) để tăng tốc, giữ nhất quán nhận diện và bàn giao file chuẩn. Ưu tiên cốt lõi: THIẾT KẾ ĐẸP – ĐÚNG BRAND – ĐÚNG CHUẨN KỸ THUẬT – ĐÚNG DEADLINE, và liên tục nâng tay nghề &amp; gu thẩm mỹ.</t>
  </si>
  <si>
    <t xml:space="preserve">▌ III. TRÁCH NHIỆM CHÍNH &amp; KPI</t>
  </si>
  <si>
    <t xml:space="preserve">#</t>
  </si>
  <si>
    <t xml:space="preserve">TRÁCH NHIỆM / NHIỆM VỤ</t>
  </si>
  <si>
    <t xml:space="preserve">KPI / TIÊU CHUẨN</t>
  </si>
  <si>
    <t xml:space="preserve">TẦN SUẤT</t>
  </si>
  <si>
    <t xml:space="preserve">MỨC TỐI THIỂU</t>
  </si>
  <si>
    <t xml:space="preserve">PHỐI HỢP</t>
  </si>
  <si>
    <t xml:space="preserve">NHÓM 1 – THỰC THI THIẾT KẾ ĐA ĐỊNH DẠNG (Trực tiếp, hands-on)</t>
  </si>
  <si>
    <t xml:space="preserve">1.1</t>
  </si>
  <si>
    <t xml:space="preserve">Thiết kế social post/banner/thumbnail/ads creative theo brief &amp; nhận diện, đúng chuẩn từng kênh</t>
  </si>
  <si>
    <t xml:space="preserve">Sản phẩm đạt brief &amp; brand, chất lượng; đúng deadline; ít chỉnh sửa</t>
  </si>
  <si>
    <t xml:space="preserve">Hàng tuần</t>
  </si>
  <si>
    <t xml:space="preserve">Đạt brief &amp; deadline</t>
  </si>
  <si>
    <t xml:space="preserve">CV Thiết kế · Content</t>
  </si>
  <si>
    <t xml:space="preserve">1.2</t>
  </si>
  <si>
    <t xml:space="preserve">Triển khai key visual (KV) &amp; ấn phẩm chiến dịch theo concept/art direction của CV Thiết kế</t>
  </si>
  <si>
    <t xml:space="preserve">KV/ấn phẩm bám concept; đạt brand; 0 lệch định hướng</t>
  </si>
  <si>
    <t xml:space="preserve">Theo chiến dịch</t>
  </si>
  <si>
    <t xml:space="preserve">Bám concept &amp; brand</t>
  </si>
  <si>
    <t xml:space="preserve">CV Thiết kế</t>
  </si>
  <si>
    <t xml:space="preserve">1.3</t>
  </si>
  <si>
    <t xml:space="preserve">Thiết kế cho gian hàng sàn TMĐT/website (banner, thumbnail, hình sản phẩm) đúng chuẩn kênh</t>
  </si>
  <si>
    <t xml:space="preserve">Thiết kế đúng chuẩn kênh/sàn; hỗ trợ hiển thị/chuyển đổi</t>
  </si>
  <si>
    <t xml:space="preserve">Đúng chuẩn kênh</t>
  </si>
  <si>
    <t xml:space="preserve">Media · Vận hành TMĐT</t>
  </si>
  <si>
    <t xml:space="preserve">NHÓM 2 – NHẬN DIỆN THƯƠNG HIỆU &amp; CHUẨN KỸ THUẬT FILE</t>
  </si>
  <si>
    <t xml:space="preserve">2.1</t>
  </si>
  <si>
    <t xml:space="preserve">Tuân thủ brand guidelines (logo/màu/font/layout/tông hình ảnh) &amp; dùng đúng template/design system</t>
  </si>
  <si>
    <t xml:space="preserve">100% sản phẩm đúng nhận diện; 0 lệch brand do lỗi cá nhân</t>
  </si>
  <si>
    <t xml:space="preserve">100% đúng nhận diện</t>
  </si>
  <si>
    <t xml:space="preserve">2.2</t>
  </si>
  <si>
    <t xml:space="preserve">Chuẩn kỹ thuật file: kích thước, màu (RGB/CMYK), định dạng, độ phân giải; xuất &amp; đặt tên file chuẩn</t>
  </si>
  <si>
    <t xml:space="preserve">0 lỗi kỹ thuật ra ngoài; file bàn giao đúng chuẩn từng kênh/in ấn</t>
  </si>
  <si>
    <t xml:space="preserve">0 lỗi kỹ thuật</t>
  </si>
  <si>
    <t xml:space="preserve">CV Thiết kế · Mua hàng/in ấn</t>
  </si>
  <si>
    <t xml:space="preserve">2.3</t>
  </si>
  <si>
    <t xml:space="preserve">Hỗ trợ packaging artwork cơ bản (CMYK/bleed) &amp; phối hợp kiểm mẫu in ấn khi được giao</t>
  </si>
  <si>
    <t xml:space="preserve">Artwork đạt chuẩn in (giám sát); 0 lỗi sản xuất do thiết kế</t>
  </si>
  <si>
    <t xml:space="preserve">Theo dự án</t>
  </si>
  <si>
    <t xml:space="preserve">Đạt chuẩn in (giám sát)</t>
  </si>
  <si>
    <t xml:space="preserve">CV Thiết kế · Sản phẩm</t>
  </si>
  <si>
    <t xml:space="preserve">NHÓM 3 – TƯ DUY THIẾT KẾ &amp; GU THẨM MỸ</t>
  </si>
  <si>
    <t xml:space="preserve">3.1</t>
  </si>
  <si>
    <t xml:space="preserve">Hiểu brief &amp; insight để thiết kế đúng mục tiêu, đúng tệp; đề xuất ý tưởng/biến thể</t>
  </si>
  <si>
    <t xml:space="preserve">Thiết kế đúng brief; đề xuất ≥ 1 phương án/biến thể khi cần</t>
  </si>
  <si>
    <t xml:space="preserve">Theo yêu cầu</t>
  </si>
  <si>
    <t xml:space="preserve">Đúng brief</t>
  </si>
  <si>
    <t xml:space="preserve">3.2</t>
  </si>
  <si>
    <t xml:space="preserve">Nâng gu thẩm mỹ: bố cục, màu, typography, xu hướng; làm sản phẩm hấp dẫn &amp; chỉn chu</t>
  </si>
  <si>
    <t xml:space="preserve">Chất lượng thẩm mỹ ≥ KH; giảm số vòng chỉnh sửa theo thời gian</t>
  </si>
  <si>
    <t xml:space="preserve">Hàng tháng</t>
  </si>
  <si>
    <t xml:space="preserve">Thẩm mỹ ≥ KH</t>
  </si>
  <si>
    <t xml:space="preserve">NHÓM 4 – CÔNG CỤ &amp; ỨNG DỤNG AI DESIGN</t>
  </si>
  <si>
    <t xml:space="preserve">4.1</t>
  </si>
  <si>
    <t xml:space="preserve">Thành thạo công cụ thiết kế (Photoshop/Illustrator/Figma/Canva...) &amp; dùng template tăng tốc</t>
  </si>
  <si>
    <t xml:space="preserve">Thao tác thành thạo; dùng template đúng; năng suất ≥ KH</t>
  </si>
  <si>
    <t xml:space="preserve">Năng suất ≥ KH</t>
  </si>
  <si>
    <t xml:space="preserve">4.2</t>
  </si>
  <si>
    <t xml:space="preserve">Ứng dụng AI design (Midjourney/Firefly...) hỗ trợ ý tưởng/sản xuất; giữ chất lượng &amp; bản quyền</t>
  </si>
  <si>
    <t xml:space="preserve">Dùng AI tăng tốc hợp lý; 0 sản phẩm AI vi phạm bản quyền/lệch brand</t>
  </si>
  <si>
    <t xml:space="preserve">Dùng AI hợp lý</t>
  </si>
  <si>
    <t xml:space="preserve">CV Thiết kế · IT</t>
  </si>
  <si>
    <t xml:space="preserve">NHÓM 5 – PHỐI HỢP, TIẾN ĐỘ &amp; QUẢN TRỊ FILE/BẢN QUYỀN</t>
  </si>
  <si>
    <t xml:space="preserve">5.1</t>
  </si>
  <si>
    <t xml:space="preserve">Nhận brief rõ &amp; quản nhiều yêu cầu song song theo quy trình; báo tiến độ/vướng mắc sớm</t>
  </si>
  <si>
    <t xml:space="preserve">Đúng tiến độ; 0 yêu cầu 'mất dấu'; báo vướng mắc kịp</t>
  </si>
  <si>
    <t xml:space="preserve">0 yêu cầu mất dấu</t>
  </si>
  <si>
    <t xml:space="preserve">CV Thiết kế · Content · Media</t>
  </si>
  <si>
    <t xml:space="preserve">5.2</t>
  </si>
  <si>
    <t xml:space="preserve">Lưu trữ &amp; đặt tên file gốc/template gọn gàng, truy xuất được; tuân thủ bản quyền (font/ảnh/AI)</t>
  </si>
  <si>
    <t xml:space="preserve">File lưu trữ chuẩn &amp; truy xuất nhanh; 0 vi phạm bản quyền</t>
  </si>
  <si>
    <t xml:space="preserve">0 vi phạm bản quyền</t>
  </si>
  <si>
    <t xml:space="preserve">CV Thiết kế · Pháp chế</t>
  </si>
  <si>
    <t xml:space="preserve">NHÓM 6 – TƯ DUY, THÁI ĐỘ &amp; PHÁT TRIỂN BẢN THÂN</t>
  </si>
  <si>
    <t xml:space="preserve">6.1</t>
  </si>
  <si>
    <t xml:space="preserve">Chủ động học công cụ/xu hướng thiết kế mới (gồm AI design); tiếp thu feedback &amp; cải thiện</t>
  </si>
  <si>
    <t xml:space="preserve">≥ 1 công cụ/xu hướng mới thử/tháng; cải thiện theo feedback</t>
  </si>
  <si>
    <t xml:space="preserve">Cập nhật ≥ 1/tháng</t>
  </si>
  <si>
    <t xml:space="preserve">6.2</t>
  </si>
  <si>
    <t xml:space="preserve">Kỷ luật deadline &amp; trung thực (giờ giấc, tiến độ); giữ tinh thần cầu thị</t>
  </si>
  <si>
    <t xml:space="preserve">100% báo cáo/tiến độ đúng hạn; tiếp thu feedback tích cực</t>
  </si>
  <si>
    <t xml:space="preserve">0 báo cáo trễ</t>
  </si>
  <si>
    <t xml:space="preserve">▌ IV. CHỈ TIÊU KPI SỐNG CÒN – NV Thiết kế</t>
  </si>
  <si>
    <t xml:space="preserve">CHỈ TIÊU KPI</t>
  </si>
  <si>
    <t xml:space="preserve">TRỌNG SỐ</t>
  </si>
  <si>
    <t xml:space="preserve">TIÊU CHUẨN ĐẠT</t>
  </si>
  <si>
    <t xml:space="preserve">TIÊU CHUẨN XUẤT SẮC</t>
  </si>
  <si>
    <t xml:space="preserve">NGUỒN DỮ LIỆU</t>
  </si>
  <si>
    <t xml:space="preserve">1</t>
  </si>
  <si>
    <t xml:space="preserve">Chất lượng &amp; thẩm mỹ thiết kế (đạt brief &amp; brand)</t>
  </si>
  <si>
    <t xml:space="preserve">28%</t>
  </si>
  <si>
    <t xml:space="preserve">Sản phẩm đạt brief &amp; brand · ít chỉnh sửa</t>
  </si>
  <si>
    <t xml:space="preserve">Thiết kế nổi bật · gần như 0 chỉnh</t>
  </si>
  <si>
    <t xml:space="preserve">Duyệt / đánh giá</t>
  </si>
  <si>
    <t xml:space="preserve">2</t>
  </si>
  <si>
    <t xml:space="preserve">Tiến độ &amp; năng suất</t>
  </si>
  <si>
    <t xml:space="preserve">20%</t>
  </si>
  <si>
    <t xml:space="preserve">Đúng deadline · sản lượng ≥ KH · 0 trễ lớn</t>
  </si>
  <si>
    <t xml:space="preserve">Vượt năng suất giữ chất lượng</t>
  </si>
  <si>
    <t xml:space="preserve">Lịch thiết kế</t>
  </si>
  <si>
    <t xml:space="preserve">3</t>
  </si>
  <si>
    <t xml:space="preserve">Nhất quán nhận diện &amp; chuẩn kỹ thuật</t>
  </si>
  <si>
    <t xml:space="preserve">18%</t>
  </si>
  <si>
    <t xml:space="preserve">100% đúng brand · 0 lỗi kỹ thuật/in</t>
  </si>
  <si>
    <t xml:space="preserve">Chuẩn mực nhận diện &amp; file</t>
  </si>
  <si>
    <t xml:space="preserve">Duyệt brand/kỹ thuật</t>
  </si>
  <si>
    <t xml:space="preserve">4</t>
  </si>
  <si>
    <t xml:space="preserve">Công cụ &amp; học hỏi</t>
  </si>
  <si>
    <t xml:space="preserve">13%</t>
  </si>
  <si>
    <t xml:space="preserve">Thành thạo công cụ · dùng template/AI tăng tốc</t>
  </si>
  <si>
    <t xml:space="preserve">Cập nhật nhanh · đề xuất ý tưởng</t>
  </si>
  <si>
    <t xml:space="preserve">5</t>
  </si>
  <si>
    <t xml:space="preserve">Phối hợp &amp; quản trị file/bản quyền</t>
  </si>
  <si>
    <t xml:space="preserve">11%</t>
  </si>
  <si>
    <t xml:space="preserve">0 yêu cầu mất dấu · file chuẩn · 0 vi phạm bản quyền</t>
  </si>
  <si>
    <t xml:space="preserve">Chủ động · tài sản gọn gàng</t>
  </si>
  <si>
    <t xml:space="preserve">Nội bộ / Pháp chế</t>
  </si>
  <si>
    <t xml:space="preserve">6</t>
  </si>
  <si>
    <t xml:space="preserve">Thái độ (sáng tạo, kỷ luật, cầu thị)</t>
  </si>
  <si>
    <t xml:space="preserve">10%</t>
  </si>
  <si>
    <t xml:space="preserve">Kỷ luật deadline · tiếp thu feedback tích cực</t>
  </si>
  <si>
    <t xml:space="preserve">Gương cầu thị &amp; sáng tạo</t>
  </si>
  <si>
    <t xml:space="preserve">▌ V. YÊU CẦU CÔNG VIỆC</t>
  </si>
  <si>
    <t xml:space="preserve">NĂNG LỰC &amp; KỸ NĂNG CẦN CÓ</t>
  </si>
  <si>
    <t xml:space="preserve">KINH NGHIỆM &amp; HỌC VẤN</t>
  </si>
  <si>
    <t xml:space="preserve">✅  Thành thạo phần mềm thiết kế (Photoshop, Illustrator; Figma/Canva)</t>
  </si>
  <si>
    <t xml:space="preserve">⏱  0–2 năm thiết kế đồ họa; hoặc fresh có gu &amp; portfolio rõ</t>
  </si>
  <si>
    <t xml:space="preserve">✅  Gu thẩm mỹ tốt: bố cục, màu, typography; thiết kế chỉn chu</t>
  </si>
  <si>
    <t xml:space="preserve">🎓  Cao đẳng/Đại học: Thiết kế đồ họa/Mỹ thuật/Truyền thông hoặc tương đương</t>
  </si>
  <si>
    <t xml:space="preserve">✅  Thiết kế đa định dạng: social, KV, banner, ads, sàn/web, ấn phẩm</t>
  </si>
  <si>
    <t xml:space="preserve">🖼️  Portfolio thể hiện gu &amp; tay nghề (social/KV/ads...)</t>
  </si>
  <si>
    <t xml:space="preserve">✅  Hiểu &amp; tuân thủ nhận diện thương hiệu; dùng template/design system</t>
  </si>
  <si>
    <t xml:space="preserve">🖨️  Biết chuẩn kỹ thuật (màu RGB/CMYK, độ phân giải, định dạng) là lợi thế</t>
  </si>
  <si>
    <t xml:space="preserve">✅  Biết dùng công cụ AI design (Midjourney/Firefly...) là lợi thế</t>
  </si>
  <si>
    <t xml:space="preserve">🤝  Giao tiếp &amp; làm việc nhóm tốt; tiếp thu feedback</t>
  </si>
  <si>
    <t xml:space="preserve">✅  Quản nhiều yêu cầu song song; tuân thủ bản quyền (font/ảnh/AI)</t>
  </si>
  <si>
    <t xml:space="preserve">⚡  Sáng tạo, cầu thị, kỷ luật deadline, ham học</t>
  </si>
  <si>
    <t xml:space="preserve">▌ VI. NĂNG LỰC CẦN CÓ (Theo Khung Năng Lực Hùng Phát)</t>
  </si>
  <si>
    <t xml:space="preserve">Mức cấp tối thiểu khi nhận vị trí: Cấp 2-3 (đào tạo được nếu gu &amp; tố chất tốt) | BẮT BUỘC: tự thiết kế đạt brand (N1) + gu thẩm mỹ cơ bản (N3)</t>
  </si>
  <si>
    <t xml:space="preserve">NHÓM NL</t>
  </si>
  <si>
    <t xml:space="preserve">TÊN NHÓM NĂNG LỰC</t>
  </si>
  <si>
    <t xml:space="preserve">CẤP TỐI THIỂU</t>
  </si>
  <si>
    <t xml:space="preserve">MÔ TẢ CẤP 3 – ĐẠT YÊU CẦU ✅</t>
  </si>
  <si>
    <t xml:space="preserve">CẤP MỤC TIÊU SAU 1 NĂM</t>
  </si>
  <si>
    <t xml:space="preserve">N1</t>
  </si>
  <si>
    <t xml:space="preserve">Thực thi Thiết kế đa định dạng (hands-on)</t>
  </si>
  <si>
    <t xml:space="preserve">Cấp 3</t>
  </si>
  <si>
    <t xml:space="preserve">Tự thiết kế social/KV/ads/sàn theo brief &amp; nhận diện, đạt chất lượng &amp; chuẩn kênh, đúng deadline.</t>
  </si>
  <si>
    <t xml:space="preserve">Cấp 4</t>
  </si>
  <si>
    <t xml:space="preserve">N2</t>
  </si>
  <si>
    <t xml:space="preserve">Nhận diện Thương hiệu &amp; Chuẩn kỹ thuật File</t>
  </si>
  <si>
    <t xml:space="preserve">Tuân thủ guidelines &amp; dùng đúng template; chuẩn file/màu/định dạng; 0 lỗi kỹ thuật ra ngoài.</t>
  </si>
  <si>
    <t xml:space="preserve">N3</t>
  </si>
  <si>
    <t xml:space="preserve">Tư duy Thiết kế &amp; Gu thẩm mỹ</t>
  </si>
  <si>
    <t xml:space="preserve">Hiểu brief &amp; insight, đề xuất ý tưởng/biến thể; bố cục/màu/typography tốt; thiết kế chỉn chu.</t>
  </si>
  <si>
    <t xml:space="preserve">N4</t>
  </si>
  <si>
    <t xml:space="preserve">Công cụ &amp; Ứng dụng AI Design</t>
  </si>
  <si>
    <t xml:space="preserve">Thành thạo công cụ &amp; template tăng tốc; ứng dụng AI design hợp lý, giữ chất lượng &amp; bản quyền.</t>
  </si>
  <si>
    <t xml:space="preserve">N5</t>
  </si>
  <si>
    <t xml:space="preserve">Phối hợp, Tiến độ &amp; Quản trị File/Bản quyền</t>
  </si>
  <si>
    <t xml:space="preserve">Nhận brief rõ, quản nhiều yêu cầu, báo tiến độ; lưu trữ file chuẩn &amp; tuân thủ bản quyền.</t>
  </si>
  <si>
    <t xml:space="preserve">N6</t>
  </si>
  <si>
    <t xml:space="preserve">Tư duy &amp; Thái độ (Sáng tạo, Kỷ luật, Cầu thị)</t>
  </si>
  <si>
    <t xml:space="preserve">Chủ động học công cụ/xu hướng (gồm AI); kỷ luật deadline; tiếp thu feedback &amp; cải thiện.</t>
  </si>
  <si>
    <t xml:space="preserve">▌ VII. QUYỀN HẠN &amp; GIỚI HẠN THẨM QUYỀN</t>
  </si>
  <si>
    <t xml:space="preserve">Cột XANH ✅ = tự quyết, chịu trách nhiệm toàn bộ kết quả.   Cột CAM ⚠️ = PHẢI BÁO CÁO hoặc XIN PHÊ DUYỆT trước khi hành động — vi phạm = vi phạm kỷ luật.</t>
  </si>
  <si>
    <t xml:space="preserve">✅  ĐƯỢC PHÉP TỰ QUYẾT ĐỊNH</t>
  </si>
  <si>
    <t xml:space="preserve">⚠️  PHẢI BÁO CÁO / XIN PHÊ DUYỆT TRƯỚC</t>
  </si>
  <si>
    <t xml:space="preserve">THẨM QUYỀN PHÊ DUYỆT</t>
  </si>
  <si>
    <t xml:space="preserve">THIẾT KẾ &amp; THỂ HIỆN</t>
  </si>
  <si>
    <t xml:space="preserve">✅  Quyết định cách thể hiện/bố cục/màu trong brief, concept &amp; brand đã được giao</t>
  </si>
  <si>
    <t xml:space="preserve">⚠️  Thay đổi concept/định hướng nghệ thuật; lệch brand guidelines</t>
  </si>
  <si>
    <t xml:space="preserve">✅  Đề xuất ý tưởng/biến thể &amp; cải tiến thiết kế trong khuôn khổ brief</t>
  </si>
  <si>
    <t xml:space="preserve">⚠️  Tự quyết KV/sản phẩm cấp công ty/PR lớn mà chưa duyệt</t>
  </si>
  <si>
    <t xml:space="preserve">CV Thiết kế / TP MKT</t>
  </si>
  <si>
    <t xml:space="preserve">CÔNG CỤ, FILE &amp; BẢN QUYỀN</t>
  </si>
  <si>
    <t xml:space="preserve">✅  Dùng công cụ/AI design trong danh mục được duyệt &amp; template của nhóm</t>
  </si>
  <si>
    <t xml:space="preserve">⚠️  Mua font/ảnh/công cụ trả phí; dùng tài sản có rủi ro bản quyền</t>
  </si>
  <si>
    <t xml:space="preserve">✅  Quản trị &amp; lưu trữ file gốc/template phần việc của mình</t>
  </si>
  <si>
    <t xml:space="preserve">⚠️  Xóa/chuyển tài sản gốc quan trọng; dùng AI/ảnh chưa kiểm bản quyền ra ngoài</t>
  </si>
  <si>
    <t xml:space="preserve">CV Thiết kế + Pháp chế</t>
  </si>
  <si>
    <t xml:space="preserve">TIẾN ĐỘ &amp; PHỐI HỢP</t>
  </si>
  <si>
    <t xml:space="preserve">✅  Sắp xếp thứ tự làm các yêu cầu trong ngày/tuần &amp; báo tiến độ</t>
  </si>
  <si>
    <t xml:space="preserve">⚠️  Dời/hủy deliverable đã cam kết; nhận thêm việc ngoài quy trình mà chưa báo</t>
  </si>
  <si>
    <t xml:space="preserve">✅  Phản hồi &amp; đề xuất với Content/Media để thiết kế đúng nhu cầu</t>
  </si>
  <si>
    <t xml:space="preserve">⚠️  Cam kết với bộ phận khác/đối tác ngoài thẩm quyền</t>
  </si>
  <si>
    <t xml:space="preserve">▌ VIII. LỘ TRÌNH PHÁT TRIỂN</t>
  </si>
  <si>
    <t xml:space="preserve">GIAI ĐOẠN</t>
  </si>
  <si>
    <t xml:space="preserve">VỊ TRÍ TIẾP THEO</t>
  </si>
  <si>
    <t xml:space="preserve">ĐIỀU KIỆN THĂNG TIẾN</t>
  </si>
  <si>
    <t xml:space="preserve">KPI CHỨNG MINH</t>
  </si>
  <si>
    <t xml:space="preserve">NGƯỜI PHÊ DUYỆT</t>
  </si>
  <si>
    <t xml:space="preserve">THỜI GIAN</t>
  </si>
  <si>
    <t xml:space="preserve">Hiện tại</t>
  </si>
  <si>
    <t xml:space="preserve">Nhân viên Thiết kế (Graphic Designer)</t>
  </si>
  <si>
    <t xml:space="preserve">Đang đảm nhận vị trí</t>
  </si>
  <si>
    <t xml:space="preserve">Thiết kế đạt brand &amp; chất lượng ≥ KH; đúng deadline; 0 lỗi kỹ thuật; 0 vi phạm bản quyền</t>
  </si>
  <si>
    <t xml:space="preserve">CV Thiết kế/TP MKT</t>
  </si>
  <si>
    <t xml:space="preserve">Đang triển khai</t>
  </si>
  <si>
    <t xml:space="preserve">12–18 tháng</t>
  </si>
  <si>
    <t xml:space="preserve">NV Thiết kế Senior / Senior Designer</t>
  </si>
  <si>
    <t xml:space="preserve">Chất lượng &amp; năng suất ≥ 110% KH; tự chủ đa định dạng; gu vững; ít chỉnh sửa</t>
  </si>
  <si>
    <t xml:space="preserve">Chất lượng cao · 0 lỗi kỹ thuật</t>
  </si>
  <si>
    <t xml:space="preserve">18–36 tháng</t>
  </si>
  <si>
    <t xml:space="preserve">Chuyên viên / Trưởng nhóm Thiết kế</t>
  </si>
  <si>
    <t xml:space="preserve">Tố chất dẫn dắt; art direction cơ bản; chuẩn hóa &amp; kèm NV mới</t>
  </si>
  <si>
    <t xml:space="preserve">Quản 1 nhóm; KPI nhóm đạt</t>
  </si>
  <si>
    <t xml:space="preserve">TP MKT</t>
  </si>
  <si>
    <t xml:space="preserve">2–3 năm</t>
  </si>
  <si>
    <t xml:space="preserve">36 tháng+</t>
  </si>
  <si>
    <t xml:space="preserve">Art Director / Phụ trách Thiết kế</t>
  </si>
  <si>
    <t xml:space="preserve">Định hướng nghệ thuật &amp; quản trị mảng thiết kế đa kênh</t>
  </si>
  <si>
    <t xml:space="preserve">Kết quả mảng bền vững</t>
  </si>
  <si>
    <t xml:space="preserve">GĐ MKT</t>
  </si>
  <si>
    <t xml:space="preserve">3+ năm</t>
  </si>
  <si>
    <t xml:space="preserve">▌ IX. XÁC NHẬN &amp; HIỆU LỰC</t>
  </si>
  <si>
    <t xml:space="preserve">Tài liệu nội bộ – CTCP Hùng Phát  |  Không phổ biến ra ngoài  |  Lưu trữ tại HR &amp; NV Thiết kế</t>
  </si>
  <si>
    <t xml:space="preserve">NGƯỜI ĐƯỢC BỔ NHIỆM (Đọc, hiểu &amp; cam kết)</t>
  </si>
  <si>
    <t xml:space="preserve">GĐHR XÁC NHẬN (Đúng khung NL &amp; quy trình)</t>
  </si>
  <si>
    <t xml:space="preserve">CV Thiết kế / TP Marketing PHÊ DUYỆT (Ký &amp; đóng dấu)</t>
  </si>
  <si>
    <t xml:space="preserve">Họ tên: ____________________
Chức danh: Nhân viên Thiết kế (Graphic Designer)
Ngày ký: ___/___/______</t>
  </si>
  <si>
    <t xml:space="preserve">Họ tên: ____________________
Chức danh: Giám đốc HR
Ngày ký: ___/___/______</t>
  </si>
  <si>
    <t xml:space="preserve">Họ tên: ____________________
Chức danh: CV Thiết kế / TP Marketing
Ngày ký: ___/___/______</t>
  </si>
  <si>
    <t xml:space="preserve">Ngày hiệu lực của JD này: ___/___/______    |    Kỳ review tiếp theo: ___/___/______    |    Người lưu trữ: GĐHR</t>
  </si>
  <si>
    <t xml:space="preserve">KHUNG NĂNG LỰC – NHÂN VIÊN THIẾT KẾ (GRAPHIC DESIGNER)</t>
  </si>
  <si>
    <t xml:space="preserve">CTCP Hùng Phát | 6 Nhóm NL | Trọng số theo vị trí | Thang 4 cấp</t>
  </si>
  <si>
    <t xml:space="preserve">▌ THANG 4 CẤP &amp; TRỌNG SỐ</t>
  </si>
  <si>
    <t xml:space="preserve">NHÓM NĂNG LỰC</t>
  </si>
  <si>
    <t xml:space="preserve">MỤC TIÊU 6 THÁNG</t>
  </si>
  <si>
    <t xml:space="preserve">MỤC TIÊU 1 NĂM</t>
  </si>
  <si>
    <t xml:space="preserve">Cấp 3-4</t>
  </si>
  <si>
    <t xml:space="preserve">TỔNG</t>
  </si>
  <si>
    <t xml:space="preserve">100%</t>
  </si>
  <si>
    <t xml:space="preserve">Điểm ≥ 3.0 để đạt</t>
  </si>
  <si>
    <t xml:space="preserve">Điểm ≥ 3.3 sau 6T</t>
  </si>
  <si>
    <t xml:space="preserve">Điểm ≥ 3.5 sau 1 năm</t>
  </si>
  <si>
    <t xml:space="preserve">▌ MÔ TẢ HÀNH VI 4 CẤP THEO NHÓM NĂNG LỰC</t>
  </si>
  <si>
    <t xml:space="preserve">TIÊU CHÍ</t>
  </si>
  <si>
    <t xml:space="preserve">CẤP 1 – Cần phát triển ❌</t>
  </si>
  <si>
    <t xml:space="preserve">CẤP 2 – Đang phát triển ⚠️</t>
  </si>
  <si>
    <t xml:space="preserve">CẤP 3 – Đạt yêu cầu ✅</t>
  </si>
  <si>
    <t xml:space="preserve">CẤP 4 – Xuất sắc ⭐</t>
  </si>
  <si>
    <t xml:space="preserve">NHÓM N1 – THỰC THI THIẾT KẾ ĐA ĐỊNH DẠNG (HANDS-ON) (28%)</t>
  </si>
  <si>
    <t xml:space="preserve">Thiết kế social/banner/ads</t>
  </si>
  <si>
    <t xml:space="preserve">Sản phẩm chất lượng thấp; sai brief; phải làm lại nhiều.</t>
  </si>
  <si>
    <t xml:space="preserve">Thiết kế được nhưng cần sửa nhiều; chưa nổi bật.</t>
  </si>
  <si>
    <t xml:space="preserve">Tự thiết kế social/banner/ads đạt brief &amp; brand, chất lượng, đúng deadline; ít sửa.</t>
  </si>
  <si>
    <t xml:space="preserve">Thiết kế nổi bật &amp; nhanh; là sản phẩm tham khảo cho nhóm.</t>
  </si>
  <si>
    <t xml:space="preserve">Triển khai KV/ấn phẩm theo concept</t>
  </si>
  <si>
    <t xml:space="preserve">Lệch concept/art direction; tự làm theo ý mình.</t>
  </si>
  <si>
    <t xml:space="preserve">Bám concept cơ bản nhưng chưa chắc tay.</t>
  </si>
  <si>
    <t xml:space="preserve">Triển khai KV/ấn phẩm bám concept &amp; brand; 0 lệch định hướng.</t>
  </si>
  <si>
    <t xml:space="preserve">Triển khai concept sắc nét, đa biến thể; nâng chất lượng bộ KV.</t>
  </si>
  <si>
    <t xml:space="preserve">Thiết kế sàn TMĐT/web</t>
  </si>
  <si>
    <t xml:space="preserve">Sai chuẩn kênh; thiết kế không hỗ trợ hiển thị/chuyển đổi.</t>
  </si>
  <si>
    <t xml:space="preserve">Đúng cơ bản nhưng chưa tối ưu theo kênh.</t>
  </si>
  <si>
    <t xml:space="preserve">Thiết kế đúng chuẩn từng kênh/sàn; hỗ trợ hiển thị/chuyển đổi.</t>
  </si>
  <si>
    <t xml:space="preserve">Tối ưu thị giác cho từng kênh; phối hợp Media nâng hiệu quả.</t>
  </si>
  <si>
    <t xml:space="preserve">NHÓM N2 – NHẬN DIỆN THƯƠNG HIỆU &amp; CHUẨN KỸ THUẬT FILE (20%)</t>
  </si>
  <si>
    <t xml:space="preserve">Tuân thủ nhận diện &amp; template</t>
  </si>
  <si>
    <t xml:space="preserve">Lệch logo/màu/font; không dùng template; thiếu nhất quán.</t>
  </si>
  <si>
    <t xml:space="preserve">Cơ bản đúng brand nhưng đôi chỗ lệch.</t>
  </si>
  <si>
    <t xml:space="preserve">100% sản phẩm đúng nhận diện; dùng đúng template/design system.</t>
  </si>
  <si>
    <t xml:space="preserve">Nhất quán mà vẫn sáng tạo trong khuôn khổ brand; góp ý cải tiến template.</t>
  </si>
  <si>
    <t xml:space="preserve">Chuẩn kỹ thuật &amp; file bàn giao</t>
  </si>
  <si>
    <t xml:space="preserve">Lỗi màu/kích thước/định dạng/độ phân giải; file lộn xộn.</t>
  </si>
  <si>
    <t xml:space="preserve">Cơ bản đúng nhưng đôi khi sai sót.</t>
  </si>
  <si>
    <t xml:space="preserve">File bàn giao đúng chuẩn từng kênh/in; 0 lỗi kỹ thuật ra ngoài.</t>
  </si>
  <si>
    <t xml:space="preserve">Chuẩn kỹ thuật chuẩn mực; tối ưu &amp; phòng lỗi file chủ động.</t>
  </si>
  <si>
    <t xml:space="preserve">Packaging &amp; kiểm mẫu in</t>
  </si>
  <si>
    <t xml:space="preserve">Gây lỗi in (CMYK/bleed); không kiểm mẫu.</t>
  </si>
  <si>
    <t xml:space="preserve">Làm được cơ bản nhưng cần giám sát kỹ.</t>
  </si>
  <si>
    <t xml:space="preserve">Artwork packaging đạt chuẩn in (giám sát); 0 lỗi sản xuất do thiết kế.</t>
  </si>
  <si>
    <t xml:space="preserve">Thành thạo chuẩn in; phối hợp kiểm mẫu &amp; màu thực tế tốt.</t>
  </si>
  <si>
    <t xml:space="preserve">NHÓM N3 – TƯ DUY THIẾT KẾ &amp; GU THẨM MỸ (18%)</t>
  </si>
  <si>
    <t xml:space="preserve">Hiểu brief &amp; đề xuất ý tưởng</t>
  </si>
  <si>
    <t xml:space="preserve">Không hiểu brief; làm sai mục tiêu; không có ý tưởng.</t>
  </si>
  <si>
    <t xml:space="preserve">Hiểu brief cơ bản; ít đề xuất.</t>
  </si>
  <si>
    <t xml:space="preserve">Hiểu brief &amp; insight, thiết kế đúng mục tiêu; đề xuất ≥ 1 phương án/biến thể.</t>
  </si>
  <si>
    <t xml:space="preserve">Đề xuất ý tưởng sáng tạo, đúng insight; nâng chất lượng giải pháp.</t>
  </si>
  <si>
    <t xml:space="preserve">Gu thẩm mỹ (bố cục/màu/typography)</t>
  </si>
  <si>
    <t xml:space="preserve">Bố cục/màu/typo yếu; sản phẩm thô.</t>
  </si>
  <si>
    <t xml:space="preserve">Gu trung bình; cần CV chỉnh nhiều.</t>
  </si>
  <si>
    <t xml:space="preserve">Bố cục/màu/typography tốt; sản phẩm chỉn chu; thẩm mỹ ≥ KH.</t>
  </si>
  <si>
    <t xml:space="preserve">Gu nổi bật &amp; cập nhật xu hướng; ít cần chỉnh, nâng tầm sản phẩm.</t>
  </si>
  <si>
    <t xml:space="preserve">NHÓM N4 – CÔNG CỤ &amp; ỨNG DỤNG AI DESIGN (13%)</t>
  </si>
  <si>
    <t xml:space="preserve">Thành thạo công cụ &amp; template</t>
  </si>
  <si>
    <t xml:space="preserve">Thao tác chậm/lỗi; không dùng template.</t>
  </si>
  <si>
    <t xml:space="preserve">Dùng được nhưng chưa nhanh/tối ưu.</t>
  </si>
  <si>
    <t xml:space="preserve">Thành thạo công cụ &amp; dùng template tăng tốc; năng suất ≥ KH.</t>
  </si>
  <si>
    <t xml:space="preserve">Làm chủ công cụ nâng cao; tối ưu workflow cá nhân &amp; nhóm.</t>
  </si>
  <si>
    <t xml:space="preserve">Ứng dụng AI design</t>
  </si>
  <si>
    <t xml:space="preserve">Không/ngại dùng AI; hoặc dùng sai gây lệch brand/bản quyền.</t>
  </si>
  <si>
    <t xml:space="preserve">Dùng AI lác đác; chưa kiểm soát chất lượng.</t>
  </si>
  <si>
    <t xml:space="preserve">Dùng AI design hợp lý tăng tốc; giữ chất lượng &amp; bản quyền; review trước dùng.</t>
  </si>
  <si>
    <t xml:space="preserve">Khai thác AI sáng tạo &amp; bài bản; chia sẻ cách dùng hiệu quả cho nhóm.</t>
  </si>
  <si>
    <t xml:space="preserve">NHÓM N5 – PHỐI HỢP, TIẾN ĐỘ &amp; QUẢN TRỊ FILE/BẢN QUYỀN (11%)</t>
  </si>
  <si>
    <t xml:space="preserve">Tiến độ &amp; phối hợp</t>
  </si>
  <si>
    <t xml:space="preserve">Trễ deadline; yêu cầu 'mất dấu'; không báo vướng mắc.</t>
  </si>
  <si>
    <t xml:space="preserve">Đúng tiến độ cơ bản; báo vướng mắc chậm.</t>
  </si>
  <si>
    <t xml:space="preserve">Đúng tiến độ; quản nhiều yêu cầu; 0 mất dấu; báo vướng mắc kịp.</t>
  </si>
  <si>
    <t xml:space="preserve">Chủ động sắp xếp &amp; phối hợp mượt; nhiều yêu cầu vẫn đúng hạn.</t>
  </si>
  <si>
    <t xml:space="preserve">Quản trị file &amp; bản quyền</t>
  </si>
  <si>
    <t xml:space="preserve">File lộn xộn/mất; vi phạm bản quyền (font/ảnh/AI).</t>
  </si>
  <si>
    <t xml:space="preserve">Lưu trữ cơ bản; đôi khi thiếu nhất quán.</t>
  </si>
  <si>
    <t xml:space="preserve">File gốc/template lưu trữ chuẩn, truy xuất nhanh; 0 vi phạm bản quyền.</t>
  </si>
  <si>
    <t xml:space="preserve">Hệ thống file gọn gàng mẫu mực; chủ động phòng rủi ro bản quyền.</t>
  </si>
  <si>
    <t xml:space="preserve">NHÓM N6 – TƯ DUY &amp; THÁI ĐỘ (SÁNG TẠO, KỶ LUẬT, CẦU THỊ) (10%)</t>
  </si>
  <si>
    <t xml:space="preserve">Học hỏi &amp; cập nhật</t>
  </si>
  <si>
    <t xml:space="preserve">Bảo thủ; ngại công cụ/xu hướng mới.</t>
  </si>
  <si>
    <t xml:space="preserve">Có học nhưng chưa chủ động.</t>
  </si>
  <si>
    <t xml:space="preserve">Chủ động học công cụ/xu hướng mới (gồm AI); áp dụng vào sản phẩm.</t>
  </si>
  <si>
    <t xml:space="preserve">Đón đầu xu hướng; chia sẻ &amp; truyền cảm hứng cho nhóm.</t>
  </si>
  <si>
    <t xml:space="preserve">Kỷ luật &amp; cầu thị</t>
  </si>
  <si>
    <t xml:space="preserve">Trễ deadline; phản ứng tiêu cực với feedback.</t>
  </si>
  <si>
    <t xml:space="preserve">Cơ bản đúng nhưng tiếp thu feedback chưa tốt.</t>
  </si>
  <si>
    <t xml:space="preserve">Kỷ luật deadline; tiếp thu feedback tích cực &amp; cải thiện.</t>
  </si>
  <si>
    <t xml:space="preserve">Gương kỷ luật &amp; cầu thị; cải thiện nhanh, ổn định chất lượng.</t>
  </si>
  <si>
    <t xml:space="preserve">PHIẾU ĐÁNH GIÁ NĂNG LỰC – NHÂN VIÊN THIẾT KẾ (GRAPHIC DESIGNER)</t>
  </si>
  <si>
    <t xml:space="preserve">CTCP Hùng Phát | Đánh giá định kỳ: Đầu vào / Quý / Cuối năm</t>
  </si>
  <si>
    <t xml:space="preserve">▌ THÔNG TIN</t>
  </si>
  <si>
    <t xml:space="preserve">Họ và tên:___________________________   Mã NV: ___________</t>
  </si>
  <si>
    <t xml:space="preserve">Chức danh: Nhân viên Thiết kế (Graphic Designer)   Bộ phận: Nhóm Thiết kế</t>
  </si>
  <si>
    <t xml:space="preserve">Ngày đánh giá: ___/___/______   Người đánh giá: _____________   Vị trí: CV Thiết kế/TP MKT</t>
  </si>
  <si>
    <t xml:space="preserve">Kỳ đánh giá: □ Đầu vào   □ Quý 1   □ Quý 2   □ Quý 3   □ Cuối năm</t>
  </si>
  <si>
    <t xml:space="preserve">▌ HƯỚNG DẪN: Ghi số cấp (1-4) vào cột 'Cấp hiện tại' + bằng chứng cụ thể quan sát được. Điểm ≥ 3.0 = Đạt yêu cầu vị trí NV Thiết kế.</t>
  </si>
  <si>
    <t xml:space="preserve">TIÊU CHÍ ĐÁNH GIÁ</t>
  </si>
  <si>
    <t xml:space="preserve">BẰNG CHỨNG / VÍ DỤ QUAN SÁT ĐƯỢC</t>
  </si>
  <si>
    <t xml:space="preserve">CẤP (1-4)</t>
  </si>
  <si>
    <t xml:space="preserve">HÀNH ĐỘNG PHÁT TRIỂN</t>
  </si>
  <si>
    <t xml:space="preserve">NHÓM N1 – THỰC THI THIẾT KẾ ĐA ĐỊNH DẠNG (Trọng số 28%)</t>
  </si>
  <si>
    <t xml:space="preserve">1.1  Thiết kế social/banner/ads</t>
  </si>
  <si>
    <t xml:space="preserve">1.2  Triển khai KV/ấn phẩm theo concept</t>
  </si>
  <si>
    <t xml:space="preserve">1.3  Thiết kế sàn TMĐT/web</t>
  </si>
  <si>
    <t xml:space="preserve">→</t>
  </si>
  <si>
    <t xml:space="preserve">ĐIỂM TRUNG BÌNH NHÓM N1</t>
  </si>
  <si>
    <t xml:space="preserve">_____ / 4.0</t>
  </si>
  <si>
    <t xml:space="preserve">NHÓM N2 – NHẬN DIỆN &amp; CHUẨN KỸ THUẬT FILE (Trọng số 20%)</t>
  </si>
  <si>
    <t xml:space="preserve">2.1  Tuân thủ nhận diện &amp; template</t>
  </si>
  <si>
    <t xml:space="preserve">2.2  Chuẩn kỹ thuật &amp; file bàn giao</t>
  </si>
  <si>
    <t xml:space="preserve">2.3  Packaging &amp; kiểm mẫu in</t>
  </si>
  <si>
    <t xml:space="preserve">ĐIỂM TRUNG BÌNH NHÓM N2</t>
  </si>
  <si>
    <t xml:space="preserve">NHÓM N3 – TƯ DUY THIẾT KẾ &amp; GU THẨM MỸ (Trọng số 18%)</t>
  </si>
  <si>
    <t xml:space="preserve">3.1  Hiểu brief &amp; đề xuất ý tưởng</t>
  </si>
  <si>
    <t xml:space="preserve">3.2  Gu thẩm mỹ (bố cục/màu/typography)</t>
  </si>
  <si>
    <t xml:space="preserve">ĐIỂM TRUNG BÌNH NHÓM N3</t>
  </si>
  <si>
    <t xml:space="preserve">NHÓM N4 – CÔNG CỤ &amp; ỨNG DỤNG AI DESIGN (Trọng số 13%)</t>
  </si>
  <si>
    <t xml:space="preserve">4.1  Thành thạo công cụ &amp; template</t>
  </si>
  <si>
    <t xml:space="preserve">4.2  Ứng dụng AI design</t>
  </si>
  <si>
    <t xml:space="preserve">ĐIỂM TRUNG BÌNH NHÓM N4</t>
  </si>
  <si>
    <t xml:space="preserve">NHÓM N5 – PHỐI HỢP, TIẾN ĐỘ &amp; QUẢN TRỊ FILE/BẢN QUYỀN (Trọng số 11%)</t>
  </si>
  <si>
    <t xml:space="preserve">5.1  Tiến độ &amp; phối hợp</t>
  </si>
  <si>
    <t xml:space="preserve">5.2  Quản trị file &amp; bản quyền</t>
  </si>
  <si>
    <t xml:space="preserve">ĐIỂM TRUNG BÌNH NHÓM N5</t>
  </si>
  <si>
    <t xml:space="preserve">NHÓM N6 – TƯ DUY &amp; THÁI ĐỘ (SÁNG TẠO, KỶ LUẬT, CẦU THỊ) (Trọng số 10%)</t>
  </si>
  <si>
    <t xml:space="preserve">6.1  Học hỏi &amp; cập nhật</t>
  </si>
  <si>
    <t xml:space="preserve">6.2  Kỷ luật &amp; cầu thị</t>
  </si>
  <si>
    <t xml:space="preserve">ĐIỂM TRUNG BÌNH NHÓM N6</t>
  </si>
  <si>
    <t xml:space="preserve">▌ TỔNG KẾT ĐÁNH GIÁ</t>
  </si>
  <si>
    <t xml:space="preserve">ĐIỂM TỔNG HỢP CÓ TRỌNG SỐ: N1×28% + N2×20% + N3×18% + N4×13% + N5×11% + N6×10% = _____ / 4.0</t>
  </si>
  <si>
    <t xml:space="preserve">XẾP LOẠI:  □ Cần phát triển (&lt; 1.5)   □ Đang phát triển (1.5–2.49)   □ Đạt yêu cầu (2.5–3.49)   □ Xuất sắc (≥ 3.5)</t>
  </si>
  <si>
    <t xml:space="preserve">ĐIỂM MẠNH CẦN PHÁT HUY: ___________________________________________</t>
  </si>
  <si>
    <t xml:space="preserve">ĐIỂM CẦN CẢI THIỆN NGAY (ưu tiên top 1-2): _____________________________</t>
  </si>
  <si>
    <t xml:space="preserve">KẾ HOẠCH PHÁT TRIỂN 6 THÁNG TỚI: _____________________________________</t>
  </si>
  <si>
    <t xml:space="preserve">Người được đánh giá ký:_______________   Người đánh giá ký:_______________   Ngày: ___/___/______</t>
  </si>
  <si>
    <t xml:space="preserve">BỘ CÂU HỎI PHỎNG VẤN STAR – NHÂN VIÊN THIẾT KẾ (GRAPHIC DESIGNER)</t>
  </si>
  <si>
    <t xml:space="preserve">CTCP Hùng Phát | Panel 1–2 người | CV Thiết kế/TP MKT + (tùy chọn) Content</t>
  </si>
  <si>
    <t xml:space="preserve">Hội đồng PV: CV Thiết kế/TP MKT + (tùy chọn) Content. Thời gian: 45–60 phút. BẮT BUỘC XEM PORTFOLIO (social/KV/banner/ads...) &amp; hỏi quy trình + công cụ. Có thể cho làm bài test thiết kế nhỏ. Đánh giá tay nghề &amp; gu thẩm mỹ. Điểm ≥ 3.0 để đạt.</t>
  </si>
  <si>
    <t xml:space="preserve">CÂU HỎI PHỎNG VẤN (STAR)</t>
  </si>
  <si>
    <t xml:space="preserve">HƯỚNG DẪN ĐÁNH GIÁ &amp; CỜ ĐỎ</t>
  </si>
  <si>
    <t xml:space="preserve">ĐIỂM (1-4)</t>
  </si>
  <si>
    <t xml:space="preserve">GHI CHÚ QUAN SÁT</t>
  </si>
  <si>
    <t xml:space="preserve">N1/N3 – TAY NGHỀ &amp; GU (QUAN TRỌNG)</t>
  </si>
  <si>
    <t xml:space="preserve">Giới thiệu 2-3 sản phẩm trong portfolio bạn tâm đắc. Bạn giải bài toán brief &amp; thể hiện thế nào (bố cục/màu/typo)?</t>
  </si>
  <si>
    <t xml:space="preserve">Tìm: Gu thẩm mỹ, hiểu brief, tay nghề, tư duy thiết kế.
🚩 Cờ đỏ: Đẹp nhưng không có lý do | Không gắn brief | Portfolio yếu</t>
  </si>
  <si>
    <t xml:space="preserve">Một banner sản phẩm vali cho social: quy trình của bạn từ brief đến bản hoàn thiện là gì? Mất bao lâu?</t>
  </si>
  <si>
    <t xml:space="preserve">Tìm: Quy trình rõ, làm việc theo brief &amp; brand, tốc độ.
🚩 Cờ đỏ: Làm không quy trình | Bỏ qua brief | Quá chậm</t>
  </si>
  <si>
    <t xml:space="preserve">N2 – NHẬN DIỆN &amp; KỸ THUẬT</t>
  </si>
  <si>
    <t xml:space="preserve">Khi nhận brand guidelines, bạn áp dụng &amp; giữ nhất quán nhận diện trên các sản phẩm thế nào?</t>
  </si>
  <si>
    <t xml:space="preserve">Tìm: Hiểu &amp; tuân thủ guidelines, dùng template, nhất quán.
🚩 Cờ đỏ: Không coi trọng guidelines | Mỗi sản phẩm một kiểu</t>
  </si>
  <si>
    <t xml:space="preserve">Bạn xuất file cho social, sàn TMĐT &amp; in ấn khác nhau thế nào (màu/kích thước/định dạng)?</t>
  </si>
  <si>
    <t xml:space="preserve">Tìm: Hiểu chuẩn kỹ thuật từng kênh, RGB/CMYK, độ phân giải.
🚩 Cờ đỏ: Không nắm chuẩn kênh | Lẫn lộn RGB/CMYK</t>
  </si>
  <si>
    <t xml:space="preserve">N4/N6 – CÔNG CỤ &amp; THÁI ĐỘ</t>
  </si>
  <si>
    <t xml:space="preserve">Bạn dùng công cụ gì &amp; có dùng AI design (Midjourney/Firefly...) không? Cho ví dụ áp dụng giúp tăng tốc.</t>
  </si>
  <si>
    <t xml:space="preserve">Tìm: Thành thạo công cụ, ứng dụng AI hợp lý, ham học.
🚩 Cờ đỏ: Chỉ 1 công cụ | Ngại cái mới | Phụ thuộc AI mù quáng</t>
  </si>
  <si>
    <t xml:space="preserve">Sản phẩm của bạn bị yêu cầu sửa nhiều vòng. Bạn phản ứng &amp; xử lý thế nào?</t>
  </si>
  <si>
    <t xml:space="preserve">Tìm: Cầu thị, tiếp thu feedback, làm rõ brief, cải thiện.
🚩 Cờ đỏ: Tự ái | Bảo thủ | Làm qua loa cho xong</t>
  </si>
  <si>
    <t xml:space="preserve">N5 – TIẾN ĐỘ &amp; PHỐI HỢP</t>
  </si>
  <si>
    <t xml:space="preserve">7</t>
  </si>
  <si>
    <t xml:space="preserve">Nhiều yêu cầu thiết kế dồn cùng lúc với deadline gấp. Bạn sắp xếp &amp; xử lý thế nào?</t>
  </si>
  <si>
    <t xml:space="preserve">Tìm: Ưu tiên, quản tiến độ, báo sớm, dùng template tăng tốc.
🚩 Cờ đỏ: Để trễ | Không báo | Bỏ chất lượng</t>
  </si>
  <si>
    <t xml:space="preserve">8</t>
  </si>
  <si>
    <t xml:space="preserve">Bạn quản lý &amp; lưu trữ file gốc/template thế nào? Bạn xử lý bản quyền font/ảnh ra sao?</t>
  </si>
  <si>
    <t xml:space="preserve">Tìm: Lưu trữ chuẩn, ý thức bản quyền.
🚩 Cờ đỏ: File lộn xộn | Dùng font/ảnh lậu vô tư</t>
  </si>
  <si>
    <t xml:space="preserve">SCORE CARD TUYỂN DỤNG – NHÂN VIÊN THIẾT KẾ (GRAPHIC DESIGNER)</t>
  </si>
  <si>
    <t xml:space="preserve">CTCP Hùng Phát | Panel ≥ 3 người</t>
  </si>
  <si>
    <t xml:space="preserve">▌ THÔNG TIN ỨNG VIÊN</t>
  </si>
  <si>
    <t xml:space="preserve">Họ tên:</t>
  </si>
  <si>
    <t xml:space="preserve">Ngày PV:</t>
  </si>
  <si>
    <t xml:space="preserve">Người PV:</t>
  </si>
  <si>
    <t xml:space="preserve">Vị trí: Nhân viên Thiết kế (Graphic Designer) – HungPhat</t>
  </si>
  <si>
    <t xml:space="preserve">▌ BẢNG ĐIỂM NĂNG LỰC</t>
  </si>
  <si>
    <t xml:space="preserve">ĐIỂM TRỌNG SỐ</t>
  </si>
  <si>
    <t xml:space="preserve">MỨC ĐẠT TỐI THIỂU</t>
  </si>
  <si>
    <t xml:space="preserve">NHẬN XÉT PANEL</t>
  </si>
  <si>
    <t xml:space="preserve">N1 – Thực thi Thiết kế đa định dạng (hands-on)</t>
  </si>
  <si>
    <t xml:space="preserve">Cấp 3 (3.0)</t>
  </si>
  <si>
    <t xml:space="preserve">N2 – Nhận diện Thương hiệu &amp; Chuẩn kỹ thuật File</t>
  </si>
  <si>
    <t xml:space="preserve">N3 – Tư duy Thiết kế &amp; Gu thẩm mỹ</t>
  </si>
  <si>
    <t xml:space="preserve">N4 – Công cụ &amp; Ứng dụng AI Design</t>
  </si>
  <si>
    <t xml:space="preserve">N5 – Phối hợp, Tiến độ &amp; Quản trị File/Bản quyền</t>
  </si>
  <si>
    <t xml:space="preserve">N6 – Tư duy &amp; Thái độ (Sáng tạo, Kỷ luật, Cầu thị)</t>
  </si>
  <si>
    <t xml:space="preserve">TỔNG ĐIỂM TRỌNG SỐ</t>
  </si>
  <si>
    <t xml:space="preserve">▌ ĐIỀU KIỆN LOẠI THẲNG</t>
  </si>
  <si>
    <t xml:space="preserve">🚫  Portfolio yếu/không thể hiện gu &amp; tay nghề thật → Loại — vị trí cần hands-on &amp; gu thẩm mỹ</t>
  </si>
  <si>
    <t xml:space="preserve">🚫  Điểm N1 (Thực thi) hoặc N3 (Gu thẩm mỹ) &lt; 3.0 → Loại</t>
  </si>
  <si>
    <t xml:space="preserve">🚫  Không tuân thủ/không hiểu nhận diện thương hiệu (mỗi sản phẩm một kiểu) → Cân nhắc kỹ/Loại</t>
  </si>
  <si>
    <t xml:space="preserve">🚫  Không nắm chuẩn kỹ thuật cơ bản (màu/định dạng/độ phân giải) &amp; không chịu học → Cân nhắc kỹ</t>
  </si>
  <si>
    <t xml:space="preserve">🚫  Coi nhẹ bản quyền (dùng font/ảnh lậu vô tư) hoặc không cầu thị với feedback → Cân nhắc kỹ/Loại</t>
  </si>
  <si>
    <t xml:space="preserve">🚫  Tổng điểm trọng số &lt; 2.5 → Loại</t>
  </si>
  <si>
    <t xml:space="preserve">▌ KHUYẾN NGHỊ</t>
  </si>
  <si>
    <t xml:space="preserve">⭐ Điểm ≥ 3.5</t>
  </si>
  <si>
    <t xml:space="preserve">ƯU TIÊN CAO — Nhận ngay; có tố chất lên Senior Designer</t>
  </si>
  <si>
    <t xml:space="preserve">✅ Điểm 3.0–3.49</t>
  </si>
  <si>
    <t xml:space="preserve">ĐẠT — Nhận được; đào tạo theo lộ trình; kèm sát tay nghề/nhận diện 1-2 tháng đầu</t>
  </si>
  <si>
    <t xml:space="preserve">⚠️ Điểm 2.5–2.99</t>
  </si>
  <si>
    <t xml:space="preserve">CÂN NHẮC — Chỉ nếu gu &amp; tay nghề cơ bản tốt &amp; cầu thị; thử việc rõ KPI</t>
  </si>
  <si>
    <t xml:space="preserve">❌ Điểm &lt; 2.5 hoặc portfolio/gu yếu</t>
  </si>
  <si>
    <t xml:space="preserve">LOẠI — Không phù hợp vị trí NV Thiết kế tại HungPhat</t>
  </si>
  <si>
    <t xml:space="preserve">KẾ HOẠCH 30 – 60 – 90 NGÀY – NHÂN VIÊN THIẾT KẾ (GRAPHIC DESIGNER)</t>
  </si>
  <si>
    <t xml:space="preserve">CTCP Hùng Phát | Cam kết 2 chiều: NV Thiết kế &amp; Công ty</t>
  </si>
  <si>
    <t xml:space="preserve">NV Thiết kế cam kết: Thiết kế đạt brand &amp; chuẩn kỹ thuật, đúng deadline · Tuân thủ nhận diện &amp; template · Dùng công cụ/AI tăng tốc giữ chất lượng · Lưu trữ file chuẩn &amp; tuân thủ bản quyền · Cầu thị, học hỏi.</t>
  </si>
  <si>
    <t xml:space="preserve">Công ty cam kết: Bàn giao brand guidelines, template/design system, công cụ thiết kế (gồm AI) &amp; tài sản tuần đầu · CV Thiết kế art-direct &amp; kèm cặp · Cung cấp brief rõ &amp; feedback xây dựng · Hỗ trợ phối hợp Content/Media.</t>
  </si>
  <si>
    <t xml:space="preserve">TUẦN</t>
  </si>
  <si>
    <t xml:space="preserve">CHỦ ĐỀ</t>
  </si>
  <si>
    <t xml:space="preserve">HÀNH ĐỘNG CỤ THỂ</t>
  </si>
  <si>
    <t xml:space="preserve">NGƯỜI HỖ TRỢ</t>
  </si>
  <si>
    <t xml:space="preserve">HOÀN THÀNH</t>
  </si>
  <si>
    <t xml:space="preserve">GIAI ĐOẠN 1 – 30 NGÀY ĐẦU: HIỂU BRAND, CÔNG CỤ &amp; THIẾT KẾ THỬ</t>
  </si>
  <si>
    <t xml:space="preserve">Tuần 1</t>
  </si>
  <si>
    <t xml:space="preserve">Tiếp nhận &amp; Định hướng</t>
  </si>
  <si>
    <t xml:space="preserve">Gặp CV Thiết kế: nhận kỳ vọng (chất lượng, tiến độ, nhận diện), KPI, thẩm quyền. Nhận brand guidelines, template, công cụ.</t>
  </si>
  <si>
    <t xml:space="preserve">□</t>
  </si>
  <si>
    <t xml:space="preserve">Tuần 2</t>
  </si>
  <si>
    <t xml:space="preserve">Nắm nhận diện, template &amp; công cụ</t>
  </si>
  <si>
    <t xml:space="preserve">Học brand guidelines (logo/màu/font/layout); làm quen template/design system &amp; công cụ (gồm AI design).</t>
  </si>
  <si>
    <t xml:space="preserve">Tuần 3</t>
  </si>
  <si>
    <t xml:space="preserve">Thiết kế thử (có giám sát)</t>
  </si>
  <si>
    <t xml:space="preserve">Tự thiết kế 1-2 sản phẩm social/banner theo brand; CV review &amp; feedback; chỉnh sửa.</t>
  </si>
  <si>
    <t xml:space="preserve">Tuần 4</t>
  </si>
  <si>
    <t xml:space="preserve">Đánh giá 30 ngày</t>
  </si>
  <si>
    <t xml:space="preserve">Nắm brand-template-công cụ; tự thiết kế cơ bản đạt brand. CV đánh giá &amp; chỉ điểm cần cải thiện.</t>
  </si>
  <si>
    <t xml:space="preserve">DELIVERABLE GIAI ĐOẠN 1 ✅</t>
  </si>
  <si>
    <t xml:space="preserve">Deliverables bắt buộc</t>
  </si>
  <si>
    <t xml:space="preserve">✅ Thuộc brand guidelines &amp; dùng được template/công cụ (gồm AI)
✅ Tự thiết kế 1-2 sản phẩm social đạt brand
✅ Hiểu KPI &amp; quy trình duyệt/bàn giao</t>
  </si>
  <si>
    <t xml:space="preserve">GIAI ĐOẠN 2 – 31-60 NGÀY: VÀO NHỊP THIẾT KẾ &amp; CHUẨN KỸ THUẬT</t>
  </si>
  <si>
    <t xml:space="preserve">Tuần 5-6</t>
  </si>
  <si>
    <t xml:space="preserve">Vào nhịp thiết kế đa định dạng</t>
  </si>
  <si>
    <t xml:space="preserve">Thiết kế social/banner/sàn theo brief &amp; brand đúng deadline; dùng template/AI tăng tốc.</t>
  </si>
  <si>
    <t xml:space="preserve">Tuần 7</t>
  </si>
  <si>
    <t xml:space="preserve">Làm chủ chuẩn kỹ thuật &amp; file bàn giao</t>
  </si>
  <si>
    <t xml:space="preserve">Xuất file đúng chuẩn từng kênh (màu/kích thước/định dạng); đặt tên &amp; lưu trữ chuẩn.</t>
  </si>
  <si>
    <t xml:space="preserve">Tuần 8</t>
  </si>
  <si>
    <t xml:space="preserve">Triển khai KV/ấn phẩm theo art direction</t>
  </si>
  <si>
    <t xml:space="preserve">Triển khai 1 bộ KV/ấn phẩm chiến dịch theo concept của CV; bám brand.</t>
  </si>
  <si>
    <t xml:space="preserve">DELIVERABLE GIAI ĐOẠN 2 ✅</t>
  </si>
  <si>
    <t xml:space="preserve">✅ Thiết kế đa định dạng đạt brand &amp; đúng deadline
✅ File bàn giao đúng chuẩn; 0 lỗi kỹ thuật
✅ Triển khai 1 bộ KV/ấn phẩm theo art direction</t>
  </si>
  <si>
    <t xml:space="preserve">GIAI ĐOẠN 3 – 61-90 NGÀY: CHẤT LƯỢNG, NĂNG SUẤT &amp; CAM KẾT</t>
  </si>
  <si>
    <t xml:space="preserve">Tuần 9-10</t>
  </si>
  <si>
    <t xml:space="preserve">Nâng chất lượng &amp; năng suất</t>
  </si>
  <si>
    <t xml:space="preserve">Giảm số vòng chỉnh sửa; nâng gu thẩm mỹ; dùng template/AI tăng năng suất.</t>
  </si>
  <si>
    <t xml:space="preserve">Tuần 11</t>
  </si>
  <si>
    <t xml:space="preserve">Chuẩn hóa quy trình cá nhân &amp; file</t>
  </si>
  <si>
    <t xml:space="preserve">Hệ thống hóa quy trình thiết kế cá nhân &amp; lưu trữ file; chuẩn bản quyền.</t>
  </si>
  <si>
    <t xml:space="preserve">Tuần 12</t>
  </si>
  <si>
    <t xml:space="preserve">Tổng kết 90 ngày</t>
  </si>
  <si>
    <t xml:space="preserve">Trình portfolio 3 tháng: chất lượng, tiến độ, nhận diện, bài học. Trình KPI 6 tháng tiếp.</t>
  </si>
  <si>
    <t xml:space="preserve">DELIVERABLE GIAI ĐOẠN 3 ✅</t>
  </si>
  <si>
    <t xml:space="preserve">✅ Chất lượng &amp; năng suất đạt ≥ KH; ít chỉnh sửa
✅ Quy trình cá nhân &amp; lưu trữ file chuẩn; 0 vi phạm bản quyền
✅ KPI 6 tháng tiếp được CV Thiết kế/TP MKT ký</t>
  </si>
  <si>
    <t xml:space="preserve">LỘ TRÌNH PHÁT TRIỂN – NHÂN VIÊN THIẾT KẾ (GRAPHIC DESIGNER)</t>
  </si>
  <si>
    <t xml:space="preserve">CTCP Hùng Phát | Lộ trình thăng tiến từ vị trí hiện tại</t>
  </si>
  <si>
    <t xml:space="preserve">Đang đảm nhận</t>
  </si>
  <si>
    <t xml:space="preserve">12-18 tháng</t>
  </si>
  <si>
    <t xml:space="preserve">18-36 tháng</t>
  </si>
  <si>
    <t xml:space="preserve">2-3 năm</t>
  </si>
  <si>
    <t xml:space="preserve">▌ ĐỂ ĐẠT THĂNG TIẾN NHANH HƠN – 3 ĐIỀU NÊN LÀM</t>
  </si>
  <si>
    <t xml:space="preserve">1. TAY NGHỀ + GU LÀ NỀN TẢNG: Ai thiết kế đạt brand, gu tốt &amp; ít phải chỉnh sửa → chứng minh giá trị ngay, được giao dự án quan trọng hơn &amp; ưu tiên lên Senior.</t>
  </si>
  <si>
    <t xml:space="preserve">2. NHẬN DIỆN &amp; CHUẨN KỸ THUẬT: Ai giữ nhận diện nhất quán &amp; bàn giao file chuẩn (0 lỗi in/màu) → được tin tưởng, là nền tảng vững để thăng tiến.</t>
  </si>
  <si>
    <t xml:space="preserve">3. CHỦ ĐỘNG HỌC &amp; CẦU THỊ: Ai liên tục học công cụ/xu hướng (gồm AI design), cầu thị với feedback &amp; sẵn sàng kèm NV mới → thể hiện tố chất dẫn dắt, mở đường lên Senior/Trưởng nhóm.</t>
  </si>
  <si>
    <t xml:space="preserve">▌ XÁC NHẬN &amp; HIỆU LỰC</t>
  </si>
  <si>
    <t xml:space="preserve">Người được bổ nhiệm xác nhận (Ký, ghi rõ họ tên):</t>
  </si>
  <si>
    <t xml:space="preserve">CV Thiết kế / TP Marketing phê duyệt (Ký, đóng dấu):</t>
  </si>
  <si>
    <t xml:space="preserve">Ngày hiệu lực: ___/___/______</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</si>
</sst>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9"/>
      <color rgb="FF000000"/>
      <name val="Arial"/>
      <family val="0"/>
      <charset val="1"/>
    </font>
    <font>
      <sz val="9"/>
      <color rgb="FF000000"/>
      <name val="Arial"/>
      <family val="0"/>
      <charset val="1"/>
    </font>
    <font>
      <b val="true"/>
      <sz val="9"/>
      <color rgb="FFFFFFFF"/>
      <name val="Arial"/>
      <family val="0"/>
      <charset val="1"/>
    </font>
  </fonts>
  <fills count="12">
    <fill>
      <patternFill patternType="none"/>
    </fill>
    <fill>
      <patternFill patternType="gray125"/>
    </fill>
    <fill>
      <patternFill patternType="solid">
        <fgColor rgb="FF1A3C6E"/>
        <bgColor rgb="FF333399"/>
      </patternFill>
    </fill>
    <fill>
      <patternFill patternType="solid">
        <fgColor rgb="FF2E75B6"/>
        <bgColor rgb="FF0066CC"/>
      </patternFill>
    </fill>
    <fill>
      <patternFill patternType="solid">
        <fgColor rgb="FFDEEAF1"/>
        <bgColor rgb="FFD6E4F0"/>
      </patternFill>
    </fill>
    <fill>
      <patternFill patternType="solid">
        <fgColor rgb="FFFFFFFF"/>
        <bgColor rgb="FFF2F2F2"/>
      </patternFill>
    </fill>
    <fill>
      <patternFill patternType="solid">
        <fgColor rgb="FFE9F3FF"/>
        <bgColor rgb="FFF2F2F2"/>
      </patternFill>
    </fill>
    <fill>
      <patternFill patternType="solid">
        <fgColor rgb="FFF2F2F2"/>
        <bgColor rgb="FFE9F3FF"/>
      </patternFill>
    </fill>
    <fill>
      <patternFill patternType="solid">
        <fgColor rgb="FFFCE4E4"/>
        <bgColor rgb="FFF2F2F2"/>
      </patternFill>
    </fill>
    <fill>
      <patternFill patternType="solid">
        <fgColor rgb="FFFFF2CC"/>
        <bgColor rgb="FFFCE4E4"/>
      </patternFill>
    </fill>
    <fill>
      <patternFill patternType="solid">
        <fgColor rgb="FFE2EFDA"/>
        <bgColor rgb="FFDEEAF1"/>
      </patternFill>
    </fill>
    <fill>
      <patternFill patternType="solid">
        <fgColor rgb="FFD6E4F0"/>
        <bgColor rgb="FFDEEAF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6" fillId="7" borderId="1" xfId="0" applyFont="true" applyBorder="true" applyAlignment="true" applyProtection="false">
      <alignment horizontal="left" vertical="center" textRotation="0" wrapText="true" indent="0" shrinkToFit="false"/>
      <protection locked="true" hidden="false"/>
    </xf>
    <xf numFmtId="164" fontId="6" fillId="9"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9F3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DEEAF1"/>
      <rgbColor rgb="FFE2EFDA"/>
      <rgbColor rgb="FFF2F2F2"/>
      <rgbColor rgb="FF99CCFF"/>
      <rgbColor rgb="FFFF99CC"/>
      <rgbColor rgb="FFCC99FF"/>
      <rgbColor rgb="FFFCE4E4"/>
      <rgbColor rgb="FF2E75B6"/>
      <rgbColor rgb="FF33CCCC"/>
      <rgbColor rgb="FF99CC00"/>
      <rgbColor rgb="FFFFCC00"/>
      <rgbColor rgb="FFFF9900"/>
      <rgbColor rgb="FFFF6600"/>
      <rgbColor rgb="FF666699"/>
      <rgbColor rgb="FF969696"/>
      <rgbColor rgb="FF1A3C6E"/>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37"/>
    <col collapsed="false" customWidth="true" hidden="false" outlineLevel="0" max="3" min="3" style="0" width="31"/>
    <col collapsed="false" customWidth="true" hidden="false" outlineLevel="0" max="4" min="4" style="0" width="18"/>
    <col collapsed="false" customWidth="true" hidden="false" outlineLevel="0" max="5" min="5" style="0" width="34"/>
    <col collapsed="false" customWidth="true" hidden="false" outlineLevel="0" max="6" min="6" style="0" width="15.39"/>
  </cols>
  <sheetData>
    <row r="1" customFormat="false" ht="37.5" hidden="false" customHeight="true" outlineLevel="0" collapsed="false">
      <c r="A1" s="1" t="s">
        <v>0</v>
      </c>
      <c r="B1" s="1"/>
      <c r="C1" s="1"/>
      <c r="D1" s="1"/>
      <c r="E1" s="1"/>
      <c r="F1" s="1"/>
    </row>
    <row r="2" customFormat="false" ht="21.75" hidden="false" customHeight="true" outlineLevel="0" collapsed="false">
      <c r="A2" s="2" t="s">
        <v>1</v>
      </c>
      <c r="B2" s="2"/>
      <c r="C2" s="2"/>
      <c r="D2" s="2"/>
      <c r="E2" s="2"/>
      <c r="F2" s="2"/>
    </row>
    <row r="3" customFormat="false" ht="19.5" hidden="false" customHeight="true" outlineLevel="0" collapsed="false">
      <c r="A3" s="3" t="s">
        <v>2</v>
      </c>
      <c r="B3" s="3"/>
      <c r="C3" s="3"/>
      <c r="D3" s="3"/>
      <c r="E3" s="3"/>
      <c r="F3" s="3"/>
    </row>
    <row r="4" customFormat="false" ht="15" hidden="false" customHeight="true" outlineLevel="0" collapsed="false">
      <c r="A4" s="4" t="s">
        <v>3</v>
      </c>
      <c r="B4" s="5" t="s">
        <v>4</v>
      </c>
      <c r="C4" s="5"/>
      <c r="D4" s="5"/>
      <c r="E4" s="5"/>
      <c r="F4" s="5"/>
    </row>
    <row r="5" customFormat="false" ht="15" hidden="false" customHeight="true" outlineLevel="0" collapsed="false">
      <c r="A5" s="4" t="s">
        <v>5</v>
      </c>
      <c r="B5" s="5" t="s">
        <v>6</v>
      </c>
      <c r="C5" s="5"/>
      <c r="D5" s="5"/>
      <c r="E5" s="5"/>
      <c r="F5" s="5"/>
    </row>
    <row r="6" customFormat="false" ht="22.35" hidden="false" customHeight="true" outlineLevel="0" collapsed="false">
      <c r="A6" s="4" t="s">
        <v>7</v>
      </c>
      <c r="B6" s="5" t="s">
        <v>8</v>
      </c>
      <c r="C6" s="5"/>
      <c r="D6" s="5"/>
      <c r="E6" s="5"/>
      <c r="F6" s="5"/>
    </row>
    <row r="7" customFormat="false" ht="15" hidden="false" customHeight="true" outlineLevel="0" collapsed="false">
      <c r="A7" s="4" t="s">
        <v>9</v>
      </c>
      <c r="B7" s="5" t="s">
        <v>10</v>
      </c>
      <c r="C7" s="5"/>
      <c r="D7" s="5"/>
      <c r="E7" s="5"/>
      <c r="F7" s="5"/>
    </row>
    <row r="8" customFormat="false" ht="22.35" hidden="false" customHeight="true" outlineLevel="0" collapsed="false">
      <c r="A8" s="4" t="s">
        <v>11</v>
      </c>
      <c r="B8" s="5" t="s">
        <v>12</v>
      </c>
      <c r="C8" s="5"/>
      <c r="D8" s="5"/>
      <c r="E8" s="5"/>
      <c r="F8" s="5"/>
    </row>
    <row r="9" customFormat="false" ht="22.35" hidden="false" customHeight="true" outlineLevel="0" collapsed="false">
      <c r="A9" s="4" t="s">
        <v>13</v>
      </c>
      <c r="B9" s="5" t="s">
        <v>14</v>
      </c>
      <c r="C9" s="5"/>
      <c r="D9" s="5"/>
      <c r="E9" s="5"/>
      <c r="F9" s="5"/>
    </row>
    <row r="10" customFormat="false" ht="22.35" hidden="false" customHeight="true" outlineLevel="0" collapsed="false">
      <c r="A10" s="4" t="s">
        <v>15</v>
      </c>
      <c r="B10" s="5" t="s">
        <v>16</v>
      </c>
      <c r="C10" s="5"/>
      <c r="D10" s="5"/>
      <c r="E10" s="5"/>
      <c r="F10" s="5"/>
    </row>
    <row r="11" customFormat="false" ht="32.8" hidden="false" customHeight="true" outlineLevel="0" collapsed="false">
      <c r="A11" s="4" t="s">
        <v>17</v>
      </c>
      <c r="B11" s="5" t="s">
        <v>18</v>
      </c>
      <c r="C11" s="5"/>
      <c r="D11" s="5"/>
      <c r="E11" s="5"/>
      <c r="F11" s="5"/>
    </row>
    <row r="12" customFormat="false" ht="15" hidden="false" customHeight="true" outlineLevel="0" collapsed="false">
      <c r="A12" s="4" t="s">
        <v>19</v>
      </c>
      <c r="B12" s="5" t="s">
        <v>20</v>
      </c>
      <c r="C12" s="5"/>
      <c r="D12" s="5"/>
      <c r="E12" s="5"/>
      <c r="F12" s="5"/>
    </row>
    <row r="13" customFormat="false" ht="22.35" hidden="false" customHeight="true" outlineLevel="0" collapsed="false">
      <c r="A13" s="4" t="s">
        <v>21</v>
      </c>
      <c r="B13" s="5" t="s">
        <v>22</v>
      </c>
      <c r="C13" s="5"/>
      <c r="D13" s="5"/>
      <c r="E13" s="5"/>
      <c r="F13" s="5"/>
    </row>
    <row r="14" customFormat="false" ht="19.5" hidden="false" customHeight="true" outlineLevel="0" collapsed="false">
      <c r="A14" s="3" t="s">
        <v>23</v>
      </c>
      <c r="B14" s="3"/>
      <c r="C14" s="3"/>
      <c r="D14" s="3"/>
      <c r="E14" s="3"/>
      <c r="F14" s="3"/>
    </row>
    <row r="15" customFormat="false" ht="57.75" hidden="false" customHeight="true" outlineLevel="0" collapsed="false">
      <c r="A15" s="6" t="s">
        <v>24</v>
      </c>
      <c r="B15" s="6"/>
      <c r="C15" s="6"/>
      <c r="D15" s="6"/>
      <c r="E15" s="6"/>
      <c r="F15" s="6"/>
    </row>
    <row r="16" customFormat="false" ht="19.5" hidden="false" customHeight="true" outlineLevel="0" collapsed="false">
      <c r="A16" s="3" t="s">
        <v>25</v>
      </c>
      <c r="B16" s="3"/>
      <c r="C16" s="3"/>
      <c r="D16" s="3"/>
      <c r="E16" s="3"/>
      <c r="F16" s="3"/>
    </row>
    <row r="17" customFormat="false" ht="24" hidden="false" customHeight="true" outlineLevel="0" collapsed="false">
      <c r="A17" s="7" t="s">
        <v>26</v>
      </c>
      <c r="B17" s="7" t="s">
        <v>27</v>
      </c>
      <c r="C17" s="7" t="s">
        <v>28</v>
      </c>
      <c r="D17" s="7" t="s">
        <v>29</v>
      </c>
      <c r="E17" s="7" t="s">
        <v>30</v>
      </c>
      <c r="F17" s="7" t="s">
        <v>31</v>
      </c>
    </row>
    <row r="18" customFormat="false" ht="18" hidden="false" customHeight="true" outlineLevel="0" collapsed="false">
      <c r="A18" s="8" t="s">
        <v>32</v>
      </c>
      <c r="B18" s="8"/>
      <c r="C18" s="8"/>
      <c r="D18" s="8"/>
      <c r="E18" s="8"/>
      <c r="F18" s="8"/>
    </row>
    <row r="19" customFormat="false" ht="45.75" hidden="false" customHeight="true" outlineLevel="0" collapsed="false">
      <c r="A19" s="9" t="s">
        <v>33</v>
      </c>
      <c r="B19" s="5" t="s">
        <v>34</v>
      </c>
      <c r="C19" s="5" t="s">
        <v>35</v>
      </c>
      <c r="D19" s="10" t="s">
        <v>36</v>
      </c>
      <c r="E19" s="10" t="s">
        <v>37</v>
      </c>
      <c r="F19" s="10" t="s">
        <v>38</v>
      </c>
    </row>
    <row r="20" customFormat="false" ht="45.75" hidden="false" customHeight="true" outlineLevel="0" collapsed="false">
      <c r="A20" s="11" t="s">
        <v>39</v>
      </c>
      <c r="B20" s="12" t="s">
        <v>40</v>
      </c>
      <c r="C20" s="12" t="s">
        <v>41</v>
      </c>
      <c r="D20" s="13" t="s">
        <v>42</v>
      </c>
      <c r="E20" s="13" t="s">
        <v>43</v>
      </c>
      <c r="F20" s="13" t="s">
        <v>44</v>
      </c>
    </row>
    <row r="21" customFormat="false" ht="45.75" hidden="false" customHeight="true" outlineLevel="0" collapsed="false">
      <c r="A21" s="9" t="s">
        <v>45</v>
      </c>
      <c r="B21" s="5" t="s">
        <v>46</v>
      </c>
      <c r="C21" s="5" t="s">
        <v>47</v>
      </c>
      <c r="D21" s="10" t="s">
        <v>36</v>
      </c>
      <c r="E21" s="10" t="s">
        <v>48</v>
      </c>
      <c r="F21" s="10" t="s">
        <v>49</v>
      </c>
    </row>
    <row r="22" customFormat="false" ht="18" hidden="false" customHeight="true" outlineLevel="0" collapsed="false">
      <c r="A22" s="8" t="s">
        <v>50</v>
      </c>
      <c r="B22" s="8"/>
      <c r="C22" s="8"/>
      <c r="D22" s="8"/>
      <c r="E22" s="8"/>
      <c r="F22" s="8"/>
    </row>
    <row r="23" customFormat="false" ht="45.75" hidden="false" customHeight="true" outlineLevel="0" collapsed="false">
      <c r="A23" s="9" t="s">
        <v>51</v>
      </c>
      <c r="B23" s="5" t="s">
        <v>52</v>
      </c>
      <c r="C23" s="5" t="s">
        <v>53</v>
      </c>
      <c r="D23" s="10" t="s">
        <v>36</v>
      </c>
      <c r="E23" s="10" t="s">
        <v>54</v>
      </c>
      <c r="F23" s="10" t="s">
        <v>44</v>
      </c>
    </row>
    <row r="24" customFormat="false" ht="45.75" hidden="false" customHeight="true" outlineLevel="0" collapsed="false">
      <c r="A24" s="11" t="s">
        <v>55</v>
      </c>
      <c r="B24" s="12" t="s">
        <v>56</v>
      </c>
      <c r="C24" s="12" t="s">
        <v>57</v>
      </c>
      <c r="D24" s="13" t="s">
        <v>36</v>
      </c>
      <c r="E24" s="13" t="s">
        <v>58</v>
      </c>
      <c r="F24" s="13" t="s">
        <v>59</v>
      </c>
    </row>
    <row r="25" customFormat="false" ht="45.75" hidden="false" customHeight="true" outlineLevel="0" collapsed="false">
      <c r="A25" s="9" t="s">
        <v>60</v>
      </c>
      <c r="B25" s="5" t="s">
        <v>61</v>
      </c>
      <c r="C25" s="5" t="s">
        <v>62</v>
      </c>
      <c r="D25" s="10" t="s">
        <v>63</v>
      </c>
      <c r="E25" s="10" t="s">
        <v>64</v>
      </c>
      <c r="F25" s="10" t="s">
        <v>65</v>
      </c>
    </row>
    <row r="26" customFormat="false" ht="18" hidden="false" customHeight="true" outlineLevel="0" collapsed="false">
      <c r="A26" s="8" t="s">
        <v>66</v>
      </c>
      <c r="B26" s="8"/>
      <c r="C26" s="8"/>
      <c r="D26" s="8"/>
      <c r="E26" s="8"/>
      <c r="F26" s="8"/>
    </row>
    <row r="27" customFormat="false" ht="45.75" hidden="false" customHeight="true" outlineLevel="0" collapsed="false">
      <c r="A27" s="9" t="s">
        <v>67</v>
      </c>
      <c r="B27" s="5" t="s">
        <v>68</v>
      </c>
      <c r="C27" s="5" t="s">
        <v>69</v>
      </c>
      <c r="D27" s="10" t="s">
        <v>70</v>
      </c>
      <c r="E27" s="10" t="s">
        <v>71</v>
      </c>
      <c r="F27" s="10" t="s">
        <v>38</v>
      </c>
    </row>
    <row r="28" customFormat="false" ht="45.75" hidden="false" customHeight="true" outlineLevel="0" collapsed="false">
      <c r="A28" s="11" t="s">
        <v>72</v>
      </c>
      <c r="B28" s="12" t="s">
        <v>73</v>
      </c>
      <c r="C28" s="12" t="s">
        <v>74</v>
      </c>
      <c r="D28" s="13" t="s">
        <v>75</v>
      </c>
      <c r="E28" s="13" t="s">
        <v>76</v>
      </c>
      <c r="F28" s="13" t="s">
        <v>44</v>
      </c>
    </row>
    <row r="29" customFormat="false" ht="18" hidden="false" customHeight="true" outlineLevel="0" collapsed="false">
      <c r="A29" s="8" t="s">
        <v>77</v>
      </c>
      <c r="B29" s="8"/>
      <c r="C29" s="8"/>
      <c r="D29" s="8"/>
      <c r="E29" s="8"/>
      <c r="F29" s="8"/>
    </row>
    <row r="30" customFormat="false" ht="45.75" hidden="false" customHeight="true" outlineLevel="0" collapsed="false">
      <c r="A30" s="9" t="s">
        <v>78</v>
      </c>
      <c r="B30" s="5" t="s">
        <v>79</v>
      </c>
      <c r="C30" s="5" t="s">
        <v>80</v>
      </c>
      <c r="D30" s="10" t="s">
        <v>36</v>
      </c>
      <c r="E30" s="10" t="s">
        <v>81</v>
      </c>
      <c r="F30" s="10" t="s">
        <v>44</v>
      </c>
    </row>
    <row r="31" customFormat="false" ht="45.75" hidden="false" customHeight="true" outlineLevel="0" collapsed="false">
      <c r="A31" s="11" t="s">
        <v>82</v>
      </c>
      <c r="B31" s="12" t="s">
        <v>83</v>
      </c>
      <c r="C31" s="12" t="s">
        <v>84</v>
      </c>
      <c r="D31" s="13" t="s">
        <v>75</v>
      </c>
      <c r="E31" s="13" t="s">
        <v>85</v>
      </c>
      <c r="F31" s="13" t="s">
        <v>86</v>
      </c>
    </row>
    <row r="32" customFormat="false" ht="18" hidden="false" customHeight="true" outlineLevel="0" collapsed="false">
      <c r="A32" s="8" t="s">
        <v>87</v>
      </c>
      <c r="B32" s="8"/>
      <c r="C32" s="8"/>
      <c r="D32" s="8"/>
      <c r="E32" s="8"/>
      <c r="F32" s="8"/>
    </row>
    <row r="33" customFormat="false" ht="45.75" hidden="false" customHeight="true" outlineLevel="0" collapsed="false">
      <c r="A33" s="9" t="s">
        <v>88</v>
      </c>
      <c r="B33" s="5" t="s">
        <v>89</v>
      </c>
      <c r="C33" s="5" t="s">
        <v>90</v>
      </c>
      <c r="D33" s="10" t="s">
        <v>36</v>
      </c>
      <c r="E33" s="10" t="s">
        <v>91</v>
      </c>
      <c r="F33" s="10" t="s">
        <v>92</v>
      </c>
    </row>
    <row r="34" customFormat="false" ht="45.75" hidden="false" customHeight="true" outlineLevel="0" collapsed="false">
      <c r="A34" s="11" t="s">
        <v>93</v>
      </c>
      <c r="B34" s="12" t="s">
        <v>94</v>
      </c>
      <c r="C34" s="12" t="s">
        <v>95</v>
      </c>
      <c r="D34" s="13" t="s">
        <v>36</v>
      </c>
      <c r="E34" s="13" t="s">
        <v>96</v>
      </c>
      <c r="F34" s="13" t="s">
        <v>97</v>
      </c>
    </row>
    <row r="35" customFormat="false" ht="18" hidden="false" customHeight="true" outlineLevel="0" collapsed="false">
      <c r="A35" s="8" t="s">
        <v>98</v>
      </c>
      <c r="B35" s="8"/>
      <c r="C35" s="8"/>
      <c r="D35" s="8"/>
      <c r="E35" s="8"/>
      <c r="F35" s="8"/>
    </row>
    <row r="36" customFormat="false" ht="45.75" hidden="false" customHeight="true" outlineLevel="0" collapsed="false">
      <c r="A36" s="9" t="s">
        <v>99</v>
      </c>
      <c r="B36" s="5" t="s">
        <v>100</v>
      </c>
      <c r="C36" s="5" t="s">
        <v>101</v>
      </c>
      <c r="D36" s="10" t="s">
        <v>75</v>
      </c>
      <c r="E36" s="10" t="s">
        <v>102</v>
      </c>
      <c r="F36" s="10" t="s">
        <v>44</v>
      </c>
    </row>
    <row r="37" customFormat="false" ht="45.75" hidden="false" customHeight="true" outlineLevel="0" collapsed="false">
      <c r="A37" s="11" t="s">
        <v>103</v>
      </c>
      <c r="B37" s="12" t="s">
        <v>104</v>
      </c>
      <c r="C37" s="12" t="s">
        <v>105</v>
      </c>
      <c r="D37" s="13" t="s">
        <v>36</v>
      </c>
      <c r="E37" s="13" t="s">
        <v>106</v>
      </c>
      <c r="F37" s="13" t="s">
        <v>44</v>
      </c>
    </row>
    <row r="38" customFormat="false" ht="19.5" hidden="false" customHeight="true" outlineLevel="0" collapsed="false">
      <c r="A38" s="3" t="s">
        <v>107</v>
      </c>
      <c r="B38" s="3"/>
      <c r="C38" s="3"/>
      <c r="D38" s="3"/>
      <c r="E38" s="3"/>
      <c r="F38" s="3"/>
    </row>
    <row r="39" customFormat="false" ht="24" hidden="false" customHeight="true" outlineLevel="0" collapsed="false">
      <c r="A39" s="7" t="s">
        <v>26</v>
      </c>
      <c r="B39" s="7" t="s">
        <v>108</v>
      </c>
      <c r="C39" s="7" t="s">
        <v>109</v>
      </c>
      <c r="D39" s="7" t="s">
        <v>110</v>
      </c>
      <c r="E39" s="7" t="s">
        <v>111</v>
      </c>
      <c r="F39" s="7" t="s">
        <v>112</v>
      </c>
    </row>
    <row r="40" customFormat="false" ht="33.75" hidden="false" customHeight="true" outlineLevel="0" collapsed="false">
      <c r="A40" s="9" t="s">
        <v>113</v>
      </c>
      <c r="B40" s="5" t="s">
        <v>114</v>
      </c>
      <c r="C40" s="10" t="s">
        <v>115</v>
      </c>
      <c r="D40" s="5" t="s">
        <v>116</v>
      </c>
      <c r="E40" s="5" t="s">
        <v>117</v>
      </c>
      <c r="F40" s="5" t="s">
        <v>118</v>
      </c>
    </row>
    <row r="41" customFormat="false" ht="33.75" hidden="false" customHeight="true" outlineLevel="0" collapsed="false">
      <c r="A41" s="11" t="s">
        <v>119</v>
      </c>
      <c r="B41" s="12" t="s">
        <v>120</v>
      </c>
      <c r="C41" s="13" t="s">
        <v>121</v>
      </c>
      <c r="D41" s="12" t="s">
        <v>122</v>
      </c>
      <c r="E41" s="12" t="s">
        <v>123</v>
      </c>
      <c r="F41" s="12" t="s">
        <v>124</v>
      </c>
    </row>
    <row r="42" customFormat="false" ht="33.75" hidden="false" customHeight="true" outlineLevel="0" collapsed="false">
      <c r="A42" s="9" t="s">
        <v>125</v>
      </c>
      <c r="B42" s="5" t="s">
        <v>126</v>
      </c>
      <c r="C42" s="10" t="s">
        <v>127</v>
      </c>
      <c r="D42" s="5" t="s">
        <v>128</v>
      </c>
      <c r="E42" s="5" t="s">
        <v>129</v>
      </c>
      <c r="F42" s="5" t="s">
        <v>130</v>
      </c>
    </row>
    <row r="43" customFormat="false" ht="33.75" hidden="false" customHeight="true" outlineLevel="0" collapsed="false">
      <c r="A43" s="11" t="s">
        <v>131</v>
      </c>
      <c r="B43" s="12" t="s">
        <v>132</v>
      </c>
      <c r="C43" s="13" t="s">
        <v>133</v>
      </c>
      <c r="D43" s="12" t="s">
        <v>134</v>
      </c>
      <c r="E43" s="12" t="s">
        <v>135</v>
      </c>
      <c r="F43" s="12" t="s">
        <v>44</v>
      </c>
    </row>
    <row r="44" customFormat="false" ht="33.75" hidden="false" customHeight="true" outlineLevel="0" collapsed="false">
      <c r="A44" s="9" t="s">
        <v>136</v>
      </c>
      <c r="B44" s="5" t="s">
        <v>137</v>
      </c>
      <c r="C44" s="10" t="s">
        <v>138</v>
      </c>
      <c r="D44" s="5" t="s">
        <v>139</v>
      </c>
      <c r="E44" s="5" t="s">
        <v>140</v>
      </c>
      <c r="F44" s="5" t="s">
        <v>141</v>
      </c>
    </row>
    <row r="45" customFormat="false" ht="33.75" hidden="false" customHeight="true" outlineLevel="0" collapsed="false">
      <c r="A45" s="11" t="s">
        <v>142</v>
      </c>
      <c r="B45" s="12" t="s">
        <v>143</v>
      </c>
      <c r="C45" s="13" t="s">
        <v>144</v>
      </c>
      <c r="D45" s="12" t="s">
        <v>145</v>
      </c>
      <c r="E45" s="12" t="s">
        <v>146</v>
      </c>
      <c r="F45" s="12" t="s">
        <v>44</v>
      </c>
    </row>
    <row r="46" customFormat="false" ht="19.5" hidden="false" customHeight="true" outlineLevel="0" collapsed="false">
      <c r="A46" s="3" t="s">
        <v>147</v>
      </c>
      <c r="B46" s="3"/>
      <c r="C46" s="3"/>
      <c r="D46" s="3"/>
      <c r="E46" s="3"/>
      <c r="F46" s="3"/>
    </row>
    <row r="47" customFormat="false" ht="24" hidden="false" customHeight="true" outlineLevel="0" collapsed="false">
      <c r="A47" s="7" t="s">
        <v>148</v>
      </c>
      <c r="B47" s="7"/>
      <c r="C47" s="7"/>
      <c r="D47" s="7" t="s">
        <v>149</v>
      </c>
      <c r="E47" s="7"/>
      <c r="F47" s="7"/>
    </row>
    <row r="48" customFormat="false" ht="30" hidden="false" customHeight="true" outlineLevel="0" collapsed="false">
      <c r="A48" s="5" t="s">
        <v>150</v>
      </c>
      <c r="B48" s="5"/>
      <c r="C48" s="5"/>
      <c r="D48" s="5" t="s">
        <v>151</v>
      </c>
      <c r="E48" s="5"/>
      <c r="F48" s="5"/>
    </row>
    <row r="49" customFormat="false" ht="30" hidden="false" customHeight="true" outlineLevel="0" collapsed="false">
      <c r="A49" s="12" t="s">
        <v>152</v>
      </c>
      <c r="B49" s="12"/>
      <c r="C49" s="12"/>
      <c r="D49" s="12" t="s">
        <v>153</v>
      </c>
      <c r="E49" s="12"/>
      <c r="F49" s="12"/>
    </row>
    <row r="50" customFormat="false" ht="30" hidden="false" customHeight="true" outlineLevel="0" collapsed="false">
      <c r="A50" s="5" t="s">
        <v>154</v>
      </c>
      <c r="B50" s="5"/>
      <c r="C50" s="5"/>
      <c r="D50" s="5" t="s">
        <v>155</v>
      </c>
      <c r="E50" s="5"/>
      <c r="F50" s="5"/>
    </row>
    <row r="51" customFormat="false" ht="30" hidden="false" customHeight="true" outlineLevel="0" collapsed="false">
      <c r="A51" s="12" t="s">
        <v>156</v>
      </c>
      <c r="B51" s="12"/>
      <c r="C51" s="12"/>
      <c r="D51" s="12" t="s">
        <v>157</v>
      </c>
      <c r="E51" s="12"/>
      <c r="F51" s="12"/>
    </row>
    <row r="52" customFormat="false" ht="30" hidden="false" customHeight="true" outlineLevel="0" collapsed="false">
      <c r="A52" s="5" t="s">
        <v>158</v>
      </c>
      <c r="B52" s="5"/>
      <c r="C52" s="5"/>
      <c r="D52" s="5" t="s">
        <v>159</v>
      </c>
      <c r="E52" s="5"/>
      <c r="F52" s="5"/>
    </row>
    <row r="53" customFormat="false" ht="30" hidden="false" customHeight="true" outlineLevel="0" collapsed="false">
      <c r="A53" s="12" t="s">
        <v>160</v>
      </c>
      <c r="B53" s="12"/>
      <c r="C53" s="12"/>
      <c r="D53" s="12" t="s">
        <v>161</v>
      </c>
      <c r="E53" s="12"/>
      <c r="F53" s="12"/>
    </row>
    <row r="54" customFormat="false" ht="19.5" hidden="false" customHeight="true" outlineLevel="0" collapsed="false">
      <c r="A54" s="3" t="s">
        <v>162</v>
      </c>
      <c r="B54" s="3"/>
      <c r="C54" s="3"/>
      <c r="D54" s="3"/>
      <c r="E54" s="3"/>
      <c r="F54" s="3"/>
    </row>
    <row r="55" customFormat="false" ht="18" hidden="false" customHeight="true" outlineLevel="0" collapsed="false">
      <c r="A55" s="14" t="s">
        <v>163</v>
      </c>
      <c r="B55" s="14"/>
      <c r="C55" s="14"/>
      <c r="D55" s="14"/>
      <c r="E55" s="14"/>
      <c r="F55" s="14"/>
    </row>
    <row r="56" customFormat="false" ht="24" hidden="false" customHeight="true" outlineLevel="0" collapsed="false">
      <c r="A56" s="7" t="s">
        <v>164</v>
      </c>
      <c r="B56" s="7" t="s">
        <v>165</v>
      </c>
      <c r="C56" s="7" t="s">
        <v>109</v>
      </c>
      <c r="D56" s="7" t="s">
        <v>166</v>
      </c>
      <c r="E56" s="7" t="s">
        <v>167</v>
      </c>
      <c r="F56" s="7" t="s">
        <v>168</v>
      </c>
    </row>
    <row r="57" customFormat="false" ht="43.5" hidden="false" customHeight="true" outlineLevel="0" collapsed="false">
      <c r="A57" s="9" t="s">
        <v>169</v>
      </c>
      <c r="B57" s="5" t="s">
        <v>170</v>
      </c>
      <c r="C57" s="10" t="s">
        <v>115</v>
      </c>
      <c r="D57" s="10" t="s">
        <v>171</v>
      </c>
      <c r="E57" s="5" t="s">
        <v>172</v>
      </c>
      <c r="F57" s="10" t="s">
        <v>173</v>
      </c>
    </row>
    <row r="58" customFormat="false" ht="43.5" hidden="false" customHeight="true" outlineLevel="0" collapsed="false">
      <c r="A58" s="11" t="s">
        <v>174</v>
      </c>
      <c r="B58" s="12" t="s">
        <v>175</v>
      </c>
      <c r="C58" s="13" t="s">
        <v>121</v>
      </c>
      <c r="D58" s="13" t="s">
        <v>171</v>
      </c>
      <c r="E58" s="12" t="s">
        <v>176</v>
      </c>
      <c r="F58" s="13" t="s">
        <v>173</v>
      </c>
    </row>
    <row r="59" customFormat="false" ht="43.5" hidden="false" customHeight="true" outlineLevel="0" collapsed="false">
      <c r="A59" s="9" t="s">
        <v>177</v>
      </c>
      <c r="B59" s="5" t="s">
        <v>178</v>
      </c>
      <c r="C59" s="10" t="s">
        <v>127</v>
      </c>
      <c r="D59" s="10" t="s">
        <v>171</v>
      </c>
      <c r="E59" s="5" t="s">
        <v>179</v>
      </c>
      <c r="F59" s="10" t="s">
        <v>173</v>
      </c>
    </row>
    <row r="60" customFormat="false" ht="43.5" hidden="false" customHeight="true" outlineLevel="0" collapsed="false">
      <c r="A60" s="11" t="s">
        <v>180</v>
      </c>
      <c r="B60" s="12" t="s">
        <v>181</v>
      </c>
      <c r="C60" s="13" t="s">
        <v>133</v>
      </c>
      <c r="D60" s="13" t="s">
        <v>171</v>
      </c>
      <c r="E60" s="12" t="s">
        <v>182</v>
      </c>
      <c r="F60" s="13" t="s">
        <v>173</v>
      </c>
    </row>
    <row r="61" customFormat="false" ht="43.5" hidden="false" customHeight="true" outlineLevel="0" collapsed="false">
      <c r="A61" s="9" t="s">
        <v>183</v>
      </c>
      <c r="B61" s="5" t="s">
        <v>184</v>
      </c>
      <c r="C61" s="10" t="s">
        <v>138</v>
      </c>
      <c r="D61" s="10" t="s">
        <v>171</v>
      </c>
      <c r="E61" s="5" t="s">
        <v>185</v>
      </c>
      <c r="F61" s="10" t="s">
        <v>173</v>
      </c>
    </row>
    <row r="62" customFormat="false" ht="43.5" hidden="false" customHeight="true" outlineLevel="0" collapsed="false">
      <c r="A62" s="11" t="s">
        <v>186</v>
      </c>
      <c r="B62" s="12" t="s">
        <v>187</v>
      </c>
      <c r="C62" s="13" t="s">
        <v>144</v>
      </c>
      <c r="D62" s="13" t="s">
        <v>171</v>
      </c>
      <c r="E62" s="12" t="s">
        <v>188</v>
      </c>
      <c r="F62" s="13" t="s">
        <v>173</v>
      </c>
    </row>
    <row r="63" customFormat="false" ht="19.5" hidden="false" customHeight="true" outlineLevel="0" collapsed="false">
      <c r="A63" s="3" t="s">
        <v>189</v>
      </c>
      <c r="B63" s="3"/>
      <c r="C63" s="3"/>
      <c r="D63" s="3"/>
      <c r="E63" s="3"/>
      <c r="F63" s="3"/>
    </row>
    <row r="64" customFormat="false" ht="24" hidden="false" customHeight="true" outlineLevel="0" collapsed="false">
      <c r="A64" s="14" t="s">
        <v>190</v>
      </c>
      <c r="B64" s="14"/>
      <c r="C64" s="14"/>
      <c r="D64" s="14"/>
      <c r="E64" s="14"/>
      <c r="F64" s="14"/>
    </row>
    <row r="65" customFormat="false" ht="15" hidden="false" customHeight="true" outlineLevel="0" collapsed="false">
      <c r="A65" s="8" t="s">
        <v>191</v>
      </c>
      <c r="B65" s="8"/>
      <c r="C65" s="8" t="s">
        <v>192</v>
      </c>
      <c r="D65" s="8"/>
      <c r="E65" s="7" t="s">
        <v>193</v>
      </c>
      <c r="F65" s="7"/>
    </row>
    <row r="66" customFormat="false" ht="18" hidden="false" customHeight="true" outlineLevel="0" collapsed="false">
      <c r="A66" s="15" t="s">
        <v>194</v>
      </c>
      <c r="B66" s="15"/>
      <c r="C66" s="15"/>
      <c r="D66" s="15"/>
      <c r="E66" s="15"/>
      <c r="F66" s="15"/>
    </row>
    <row r="67" customFormat="false" ht="31.5" hidden="false" customHeight="true" outlineLevel="0" collapsed="false">
      <c r="A67" s="5" t="s">
        <v>195</v>
      </c>
      <c r="B67" s="5"/>
      <c r="C67" s="5" t="s">
        <v>196</v>
      </c>
      <c r="D67" s="5"/>
      <c r="E67" s="10" t="s">
        <v>44</v>
      </c>
      <c r="F67" s="10"/>
    </row>
    <row r="68" customFormat="false" ht="31.5" hidden="false" customHeight="true" outlineLevel="0" collapsed="false">
      <c r="A68" s="12" t="s">
        <v>197</v>
      </c>
      <c r="B68" s="12"/>
      <c r="C68" s="12" t="s">
        <v>198</v>
      </c>
      <c r="D68" s="12"/>
      <c r="E68" s="13" t="s">
        <v>199</v>
      </c>
      <c r="F68" s="13"/>
    </row>
    <row r="69" customFormat="false" ht="18" hidden="false" customHeight="true" outlineLevel="0" collapsed="false">
      <c r="A69" s="15" t="s">
        <v>200</v>
      </c>
      <c r="B69" s="15"/>
      <c r="C69" s="15"/>
      <c r="D69" s="15"/>
      <c r="E69" s="15"/>
      <c r="F69" s="15"/>
    </row>
    <row r="70" customFormat="false" ht="31.5" hidden="false" customHeight="true" outlineLevel="0" collapsed="false">
      <c r="A70" s="5" t="s">
        <v>201</v>
      </c>
      <c r="B70" s="5"/>
      <c r="C70" s="5" t="s">
        <v>202</v>
      </c>
      <c r="D70" s="5"/>
      <c r="E70" s="10" t="s">
        <v>199</v>
      </c>
      <c r="F70" s="10"/>
    </row>
    <row r="71" customFormat="false" ht="31.5" hidden="false" customHeight="true" outlineLevel="0" collapsed="false">
      <c r="A71" s="12" t="s">
        <v>203</v>
      </c>
      <c r="B71" s="12"/>
      <c r="C71" s="12" t="s">
        <v>204</v>
      </c>
      <c r="D71" s="12"/>
      <c r="E71" s="13" t="s">
        <v>205</v>
      </c>
      <c r="F71" s="13"/>
    </row>
    <row r="72" customFormat="false" ht="18" hidden="false" customHeight="true" outlineLevel="0" collapsed="false">
      <c r="A72" s="15" t="s">
        <v>206</v>
      </c>
      <c r="B72" s="15"/>
      <c r="C72" s="15"/>
      <c r="D72" s="15"/>
      <c r="E72" s="15"/>
      <c r="F72" s="15"/>
    </row>
    <row r="73" customFormat="false" ht="31.5" hidden="false" customHeight="true" outlineLevel="0" collapsed="false">
      <c r="A73" s="5" t="s">
        <v>207</v>
      </c>
      <c r="B73" s="5"/>
      <c r="C73" s="5" t="s">
        <v>208</v>
      </c>
      <c r="D73" s="5"/>
      <c r="E73" s="10" t="s">
        <v>44</v>
      </c>
      <c r="F73" s="10"/>
    </row>
    <row r="74" customFormat="false" ht="31.5" hidden="false" customHeight="true" outlineLevel="0" collapsed="false">
      <c r="A74" s="12" t="s">
        <v>209</v>
      </c>
      <c r="B74" s="12"/>
      <c r="C74" s="12" t="s">
        <v>210</v>
      </c>
      <c r="D74" s="12"/>
      <c r="E74" s="13" t="s">
        <v>199</v>
      </c>
      <c r="F74" s="13"/>
    </row>
    <row r="75" customFormat="false" ht="19.5" hidden="false" customHeight="true" outlineLevel="0" collapsed="false">
      <c r="A75" s="3" t="s">
        <v>211</v>
      </c>
      <c r="B75" s="3"/>
      <c r="C75" s="3"/>
      <c r="D75" s="3"/>
      <c r="E75" s="3"/>
      <c r="F75" s="3"/>
    </row>
    <row r="76" customFormat="false" ht="24" hidden="false" customHeight="true" outlineLevel="0" collapsed="false">
      <c r="A76" s="7" t="s">
        <v>212</v>
      </c>
      <c r="B76" s="7" t="s">
        <v>213</v>
      </c>
      <c r="C76" s="7" t="s">
        <v>214</v>
      </c>
      <c r="D76" s="7" t="s">
        <v>215</v>
      </c>
      <c r="E76" s="7" t="s">
        <v>216</v>
      </c>
      <c r="F76" s="7" t="s">
        <v>217</v>
      </c>
    </row>
    <row r="77" customFormat="false" ht="39.75" hidden="false" customHeight="true" outlineLevel="0" collapsed="false">
      <c r="A77" s="9" t="s">
        <v>218</v>
      </c>
      <c r="B77" s="5" t="s">
        <v>219</v>
      </c>
      <c r="C77" s="5" t="s">
        <v>220</v>
      </c>
      <c r="D77" s="5" t="s">
        <v>221</v>
      </c>
      <c r="E77" s="10" t="s">
        <v>222</v>
      </c>
      <c r="F77" s="10" t="s">
        <v>223</v>
      </c>
    </row>
    <row r="78" customFormat="false" ht="39.75" hidden="false" customHeight="true" outlineLevel="0" collapsed="false">
      <c r="A78" s="11" t="s">
        <v>224</v>
      </c>
      <c r="B78" s="12" t="s">
        <v>225</v>
      </c>
      <c r="C78" s="12" t="s">
        <v>226</v>
      </c>
      <c r="D78" s="12" t="s">
        <v>227</v>
      </c>
      <c r="E78" s="13" t="s">
        <v>222</v>
      </c>
      <c r="F78" s="13" t="s">
        <v>224</v>
      </c>
    </row>
    <row r="79" customFormat="false" ht="39.75" hidden="false" customHeight="true" outlineLevel="0" collapsed="false">
      <c r="A79" s="9" t="s">
        <v>228</v>
      </c>
      <c r="B79" s="5" t="s">
        <v>229</v>
      </c>
      <c r="C79" s="5" t="s">
        <v>230</v>
      </c>
      <c r="D79" s="5" t="s">
        <v>231</v>
      </c>
      <c r="E79" s="10" t="s">
        <v>232</v>
      </c>
      <c r="F79" s="10" t="s">
        <v>233</v>
      </c>
    </row>
    <row r="80" customFormat="false" ht="39.75" hidden="false" customHeight="true" outlineLevel="0" collapsed="false">
      <c r="A80" s="11" t="s">
        <v>234</v>
      </c>
      <c r="B80" s="12" t="s">
        <v>235</v>
      </c>
      <c r="C80" s="12" t="s">
        <v>236</v>
      </c>
      <c r="D80" s="12" t="s">
        <v>237</v>
      </c>
      <c r="E80" s="13" t="s">
        <v>238</v>
      </c>
      <c r="F80" s="13" t="s">
        <v>239</v>
      </c>
    </row>
    <row r="81" customFormat="false" ht="19.5" hidden="false" customHeight="true" outlineLevel="0" collapsed="false">
      <c r="A81" s="3" t="s">
        <v>240</v>
      </c>
      <c r="B81" s="3"/>
      <c r="C81" s="3"/>
      <c r="D81" s="3"/>
      <c r="E81" s="3"/>
      <c r="F81" s="3"/>
    </row>
    <row r="82" customFormat="false" ht="18" hidden="false" customHeight="true" outlineLevel="0" collapsed="false">
      <c r="A82" s="4" t="s">
        <v>241</v>
      </c>
      <c r="B82" s="4"/>
      <c r="C82" s="4"/>
      <c r="D82" s="4"/>
      <c r="E82" s="4"/>
      <c r="F82" s="4"/>
    </row>
    <row r="83" customFormat="false" ht="15" hidden="false" customHeight="true" outlineLevel="0" collapsed="false">
      <c r="A83" s="4" t="s">
        <v>242</v>
      </c>
      <c r="B83" s="4"/>
      <c r="C83" s="4" t="s">
        <v>243</v>
      </c>
      <c r="D83" s="4"/>
      <c r="E83" s="4" t="s">
        <v>244</v>
      </c>
      <c r="F83" s="4"/>
    </row>
    <row r="84" customFormat="false" ht="54" hidden="false" customHeight="true" outlineLevel="0" collapsed="false">
      <c r="A84" s="5" t="s">
        <v>245</v>
      </c>
      <c r="B84" s="5"/>
      <c r="C84" s="5" t="s">
        <v>246</v>
      </c>
      <c r="D84" s="5"/>
      <c r="E84" s="5" t="s">
        <v>247</v>
      </c>
      <c r="F84" s="5"/>
    </row>
    <row r="85" customFormat="false" ht="18" hidden="false" customHeight="true" outlineLevel="0" collapsed="false">
      <c r="A85" s="16" t="s">
        <v>248</v>
      </c>
      <c r="B85" s="16"/>
      <c r="C85" s="16"/>
      <c r="D85" s="16"/>
      <c r="E85" s="16"/>
      <c r="F85" s="16"/>
    </row>
  </sheetData>
  <mergeCells count="76">
    <mergeCell ref="A1:F1"/>
    <mergeCell ref="A2:F2"/>
    <mergeCell ref="A3:F3"/>
    <mergeCell ref="B4:F4"/>
    <mergeCell ref="B5:F5"/>
    <mergeCell ref="B6:F6"/>
    <mergeCell ref="B7:F7"/>
    <mergeCell ref="B8:F8"/>
    <mergeCell ref="B9:F9"/>
    <mergeCell ref="B10:F10"/>
    <mergeCell ref="B11:F11"/>
    <mergeCell ref="B12:F12"/>
    <mergeCell ref="B13:F13"/>
    <mergeCell ref="A14:F14"/>
    <mergeCell ref="A15:F15"/>
    <mergeCell ref="A16:F16"/>
    <mergeCell ref="A18:F18"/>
    <mergeCell ref="A22:F22"/>
    <mergeCell ref="A26:F26"/>
    <mergeCell ref="A29:F29"/>
    <mergeCell ref="A32:F32"/>
    <mergeCell ref="A35:F35"/>
    <mergeCell ref="A38:F38"/>
    <mergeCell ref="A46:F46"/>
    <mergeCell ref="A47:C47"/>
    <mergeCell ref="D47:F47"/>
    <mergeCell ref="A48:C48"/>
    <mergeCell ref="D48:F48"/>
    <mergeCell ref="A49:C49"/>
    <mergeCell ref="D49:F49"/>
    <mergeCell ref="A50:C50"/>
    <mergeCell ref="D50:F50"/>
    <mergeCell ref="A51:C51"/>
    <mergeCell ref="D51:F51"/>
    <mergeCell ref="A52:C52"/>
    <mergeCell ref="D52:F52"/>
    <mergeCell ref="A53:C53"/>
    <mergeCell ref="D53:F53"/>
    <mergeCell ref="A54:F54"/>
    <mergeCell ref="A55:F55"/>
    <mergeCell ref="A63:F63"/>
    <mergeCell ref="A64:F64"/>
    <mergeCell ref="A65:B65"/>
    <mergeCell ref="C65:D65"/>
    <mergeCell ref="E65:F65"/>
    <mergeCell ref="A66:F66"/>
    <mergeCell ref="A67:B67"/>
    <mergeCell ref="C67:D67"/>
    <mergeCell ref="E67:F67"/>
    <mergeCell ref="A68:B68"/>
    <mergeCell ref="C68:D68"/>
    <mergeCell ref="E68:F68"/>
    <mergeCell ref="A69:F69"/>
    <mergeCell ref="A70:B70"/>
    <mergeCell ref="C70:D70"/>
    <mergeCell ref="E70:F70"/>
    <mergeCell ref="A71:B71"/>
    <mergeCell ref="C71:D71"/>
    <mergeCell ref="E71:F71"/>
    <mergeCell ref="A72:F72"/>
    <mergeCell ref="A73:B73"/>
    <mergeCell ref="C73:D73"/>
    <mergeCell ref="E73:F73"/>
    <mergeCell ref="A74:B74"/>
    <mergeCell ref="C74:D74"/>
    <mergeCell ref="E74:F74"/>
    <mergeCell ref="A75:F75"/>
    <mergeCell ref="A81:F81"/>
    <mergeCell ref="A82:F82"/>
    <mergeCell ref="A83:B83"/>
    <mergeCell ref="C83:D83"/>
    <mergeCell ref="E83:F83"/>
    <mergeCell ref="A84:B84"/>
    <mergeCell ref="C84:D84"/>
    <mergeCell ref="E84:F84"/>
    <mergeCell ref="A85:F8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4" min="3" style="0" width="22"/>
    <col collapsed="false" customWidth="true" hidden="false" outlineLevel="0" max="5" min="5" style="0" width="30"/>
    <col collapsed="false" customWidth="true" hidden="false" outlineLevel="0" max="6" min="6" style="0" width="22"/>
  </cols>
  <sheetData>
    <row r="1" customFormat="false" ht="37.5" hidden="false" customHeight="true" outlineLevel="0" collapsed="false">
      <c r="A1" s="1" t="s">
        <v>249</v>
      </c>
      <c r="B1" s="1"/>
      <c r="C1" s="1"/>
      <c r="D1" s="1"/>
      <c r="E1" s="1"/>
      <c r="F1" s="1"/>
    </row>
    <row r="2" customFormat="false" ht="21.75" hidden="false" customHeight="true" outlineLevel="0" collapsed="false">
      <c r="A2" s="2" t="s">
        <v>250</v>
      </c>
      <c r="B2" s="2"/>
      <c r="C2" s="2"/>
      <c r="D2" s="2"/>
      <c r="E2" s="2"/>
      <c r="F2" s="2"/>
    </row>
    <row r="3" customFormat="false" ht="19.5" hidden="false" customHeight="true" outlineLevel="0" collapsed="false">
      <c r="A3" s="3" t="s">
        <v>251</v>
      </c>
      <c r="B3" s="3"/>
      <c r="C3" s="3"/>
      <c r="D3" s="3"/>
      <c r="E3" s="3"/>
      <c r="F3" s="3"/>
    </row>
    <row r="4" customFormat="false" ht="24" hidden="false" customHeight="true" outlineLevel="0" collapsed="false">
      <c r="A4" s="7" t="s">
        <v>26</v>
      </c>
      <c r="B4" s="7" t="s">
        <v>252</v>
      </c>
      <c r="C4" s="7" t="s">
        <v>109</v>
      </c>
      <c r="D4" s="7" t="s">
        <v>166</v>
      </c>
      <c r="E4" s="7" t="s">
        <v>253</v>
      </c>
      <c r="F4" s="7" t="s">
        <v>254</v>
      </c>
    </row>
    <row r="5" customFormat="false" ht="21.75" hidden="false" customHeight="true" outlineLevel="0" collapsed="false">
      <c r="A5" s="9" t="s">
        <v>169</v>
      </c>
      <c r="B5" s="5" t="s">
        <v>170</v>
      </c>
      <c r="C5" s="10" t="s">
        <v>115</v>
      </c>
      <c r="D5" s="10" t="s">
        <v>171</v>
      </c>
      <c r="E5" s="10" t="s">
        <v>255</v>
      </c>
      <c r="F5" s="10" t="s">
        <v>173</v>
      </c>
    </row>
    <row r="6" customFormat="false" ht="21.75" hidden="false" customHeight="true" outlineLevel="0" collapsed="false">
      <c r="A6" s="11" t="s">
        <v>174</v>
      </c>
      <c r="B6" s="12" t="s">
        <v>175</v>
      </c>
      <c r="C6" s="13" t="s">
        <v>121</v>
      </c>
      <c r="D6" s="13" t="s">
        <v>171</v>
      </c>
      <c r="E6" s="13" t="s">
        <v>171</v>
      </c>
      <c r="F6" s="13" t="s">
        <v>173</v>
      </c>
    </row>
    <row r="7" customFormat="false" ht="21.75" hidden="false" customHeight="true" outlineLevel="0" collapsed="false">
      <c r="A7" s="9" t="s">
        <v>177</v>
      </c>
      <c r="B7" s="5" t="s">
        <v>178</v>
      </c>
      <c r="C7" s="10" t="s">
        <v>127</v>
      </c>
      <c r="D7" s="10" t="s">
        <v>171</v>
      </c>
      <c r="E7" s="10" t="s">
        <v>255</v>
      </c>
      <c r="F7" s="10" t="s">
        <v>173</v>
      </c>
    </row>
    <row r="8" customFormat="false" ht="21.75" hidden="false" customHeight="true" outlineLevel="0" collapsed="false">
      <c r="A8" s="11" t="s">
        <v>180</v>
      </c>
      <c r="B8" s="12" t="s">
        <v>181</v>
      </c>
      <c r="C8" s="13" t="s">
        <v>133</v>
      </c>
      <c r="D8" s="13" t="s">
        <v>171</v>
      </c>
      <c r="E8" s="13" t="s">
        <v>255</v>
      </c>
      <c r="F8" s="13" t="s">
        <v>173</v>
      </c>
    </row>
    <row r="9" customFormat="false" ht="21.75" hidden="false" customHeight="true" outlineLevel="0" collapsed="false">
      <c r="A9" s="9" t="s">
        <v>183</v>
      </c>
      <c r="B9" s="5" t="s">
        <v>184</v>
      </c>
      <c r="C9" s="10" t="s">
        <v>138</v>
      </c>
      <c r="D9" s="10" t="s">
        <v>171</v>
      </c>
      <c r="E9" s="10" t="s">
        <v>171</v>
      </c>
      <c r="F9" s="10" t="s">
        <v>173</v>
      </c>
    </row>
    <row r="10" customFormat="false" ht="21.75" hidden="false" customHeight="true" outlineLevel="0" collapsed="false">
      <c r="A10" s="11" t="s">
        <v>186</v>
      </c>
      <c r="B10" s="12" t="s">
        <v>187</v>
      </c>
      <c r="C10" s="13" t="s">
        <v>144</v>
      </c>
      <c r="D10" s="13" t="s">
        <v>171</v>
      </c>
      <c r="E10" s="13" t="s">
        <v>171</v>
      </c>
      <c r="F10" s="13" t="s">
        <v>173</v>
      </c>
    </row>
    <row r="11" customFormat="false" ht="19.5" hidden="false" customHeight="true" outlineLevel="0" collapsed="false">
      <c r="A11" s="10"/>
      <c r="B11" s="9" t="s">
        <v>256</v>
      </c>
      <c r="C11" s="10" t="s">
        <v>257</v>
      </c>
      <c r="D11" s="10" t="s">
        <v>258</v>
      </c>
      <c r="E11" s="10" t="s">
        <v>259</v>
      </c>
      <c r="F11" s="10" t="s">
        <v>260</v>
      </c>
    </row>
    <row r="12" customFormat="false" ht="19.5" hidden="false" customHeight="true" outlineLevel="0" collapsed="false">
      <c r="A12" s="3" t="s">
        <v>261</v>
      </c>
      <c r="B12" s="3"/>
      <c r="C12" s="3"/>
      <c r="D12" s="3"/>
      <c r="E12" s="3"/>
      <c r="F12" s="3"/>
    </row>
    <row r="13" customFormat="false" ht="24" hidden="false" customHeight="true" outlineLevel="0" collapsed="false">
      <c r="A13" s="7" t="s">
        <v>26</v>
      </c>
      <c r="B13" s="7" t="s">
        <v>262</v>
      </c>
      <c r="C13" s="7" t="s">
        <v>263</v>
      </c>
      <c r="D13" s="7" t="s">
        <v>264</v>
      </c>
      <c r="E13" s="7" t="s">
        <v>265</v>
      </c>
      <c r="F13" s="7" t="s">
        <v>266</v>
      </c>
    </row>
    <row r="14" customFormat="false" ht="18" hidden="false" customHeight="true" outlineLevel="0" collapsed="false">
      <c r="A14" s="8" t="s">
        <v>267</v>
      </c>
      <c r="B14" s="8"/>
      <c r="C14" s="8"/>
      <c r="D14" s="8"/>
      <c r="E14" s="8"/>
      <c r="F14" s="8"/>
    </row>
    <row r="15" customFormat="false" ht="57.75" hidden="false" customHeight="true" outlineLevel="0" collapsed="false">
      <c r="A15" s="9" t="s">
        <v>33</v>
      </c>
      <c r="B15" s="17" t="s">
        <v>268</v>
      </c>
      <c r="C15" s="18" t="s">
        <v>269</v>
      </c>
      <c r="D15" s="19" t="s">
        <v>270</v>
      </c>
      <c r="E15" s="20" t="s">
        <v>271</v>
      </c>
      <c r="F15" s="21" t="s">
        <v>272</v>
      </c>
    </row>
    <row r="16" customFormat="false" ht="57.75" hidden="false" customHeight="true" outlineLevel="0" collapsed="false">
      <c r="A16" s="11" t="s">
        <v>39</v>
      </c>
      <c r="B16" s="22" t="s">
        <v>273</v>
      </c>
      <c r="C16" s="18" t="s">
        <v>274</v>
      </c>
      <c r="D16" s="19" t="s">
        <v>275</v>
      </c>
      <c r="E16" s="20" t="s">
        <v>276</v>
      </c>
      <c r="F16" s="21" t="s">
        <v>277</v>
      </c>
    </row>
    <row r="17" customFormat="false" ht="57.75" hidden="false" customHeight="true" outlineLevel="0" collapsed="false">
      <c r="A17" s="9" t="s">
        <v>45</v>
      </c>
      <c r="B17" s="17" t="s">
        <v>278</v>
      </c>
      <c r="C17" s="18" t="s">
        <v>279</v>
      </c>
      <c r="D17" s="19" t="s">
        <v>280</v>
      </c>
      <c r="E17" s="20" t="s">
        <v>281</v>
      </c>
      <c r="F17" s="21" t="s">
        <v>282</v>
      </c>
    </row>
    <row r="18" customFormat="false" ht="18" hidden="false" customHeight="true" outlineLevel="0" collapsed="false">
      <c r="A18" s="8" t="s">
        <v>283</v>
      </c>
      <c r="B18" s="8"/>
      <c r="C18" s="8"/>
      <c r="D18" s="8"/>
      <c r="E18" s="8"/>
      <c r="F18" s="8"/>
    </row>
    <row r="19" customFormat="false" ht="57.75" hidden="false" customHeight="true" outlineLevel="0" collapsed="false">
      <c r="A19" s="9" t="s">
        <v>51</v>
      </c>
      <c r="B19" s="17" t="s">
        <v>284</v>
      </c>
      <c r="C19" s="18" t="s">
        <v>285</v>
      </c>
      <c r="D19" s="19" t="s">
        <v>286</v>
      </c>
      <c r="E19" s="20" t="s">
        <v>287</v>
      </c>
      <c r="F19" s="21" t="s">
        <v>288</v>
      </c>
    </row>
    <row r="20" customFormat="false" ht="57.75" hidden="false" customHeight="true" outlineLevel="0" collapsed="false">
      <c r="A20" s="11" t="s">
        <v>55</v>
      </c>
      <c r="B20" s="22" t="s">
        <v>289</v>
      </c>
      <c r="C20" s="18" t="s">
        <v>290</v>
      </c>
      <c r="D20" s="19" t="s">
        <v>291</v>
      </c>
      <c r="E20" s="20" t="s">
        <v>292</v>
      </c>
      <c r="F20" s="21" t="s">
        <v>293</v>
      </c>
    </row>
    <row r="21" customFormat="false" ht="57.75" hidden="false" customHeight="true" outlineLevel="0" collapsed="false">
      <c r="A21" s="9" t="s">
        <v>60</v>
      </c>
      <c r="B21" s="17" t="s">
        <v>294</v>
      </c>
      <c r="C21" s="18" t="s">
        <v>295</v>
      </c>
      <c r="D21" s="19" t="s">
        <v>296</v>
      </c>
      <c r="E21" s="20" t="s">
        <v>297</v>
      </c>
      <c r="F21" s="21" t="s">
        <v>298</v>
      </c>
    </row>
    <row r="22" customFormat="false" ht="18" hidden="false" customHeight="true" outlineLevel="0" collapsed="false">
      <c r="A22" s="8" t="s">
        <v>299</v>
      </c>
      <c r="B22" s="8"/>
      <c r="C22" s="8"/>
      <c r="D22" s="8"/>
      <c r="E22" s="8"/>
      <c r="F22" s="8"/>
    </row>
    <row r="23" customFormat="false" ht="57.75" hidden="false" customHeight="true" outlineLevel="0" collapsed="false">
      <c r="A23" s="9" t="s">
        <v>67</v>
      </c>
      <c r="B23" s="17" t="s">
        <v>300</v>
      </c>
      <c r="C23" s="18" t="s">
        <v>301</v>
      </c>
      <c r="D23" s="19" t="s">
        <v>302</v>
      </c>
      <c r="E23" s="20" t="s">
        <v>303</v>
      </c>
      <c r="F23" s="21" t="s">
        <v>304</v>
      </c>
    </row>
    <row r="24" customFormat="false" ht="57.75" hidden="false" customHeight="true" outlineLevel="0" collapsed="false">
      <c r="A24" s="11" t="s">
        <v>72</v>
      </c>
      <c r="B24" s="22" t="s">
        <v>305</v>
      </c>
      <c r="C24" s="18" t="s">
        <v>306</v>
      </c>
      <c r="D24" s="19" t="s">
        <v>307</v>
      </c>
      <c r="E24" s="20" t="s">
        <v>308</v>
      </c>
      <c r="F24" s="21" t="s">
        <v>309</v>
      </c>
    </row>
    <row r="25" customFormat="false" ht="18" hidden="false" customHeight="true" outlineLevel="0" collapsed="false">
      <c r="A25" s="8" t="s">
        <v>310</v>
      </c>
      <c r="B25" s="8"/>
      <c r="C25" s="8"/>
      <c r="D25" s="8"/>
      <c r="E25" s="8"/>
      <c r="F25" s="8"/>
    </row>
    <row r="26" customFormat="false" ht="57.75" hidden="false" customHeight="true" outlineLevel="0" collapsed="false">
      <c r="A26" s="9" t="s">
        <v>78</v>
      </c>
      <c r="B26" s="17" t="s">
        <v>311</v>
      </c>
      <c r="C26" s="18" t="s">
        <v>312</v>
      </c>
      <c r="D26" s="19" t="s">
        <v>313</v>
      </c>
      <c r="E26" s="20" t="s">
        <v>314</v>
      </c>
      <c r="F26" s="21" t="s">
        <v>315</v>
      </c>
    </row>
    <row r="27" customFormat="false" ht="57.75" hidden="false" customHeight="true" outlineLevel="0" collapsed="false">
      <c r="A27" s="11" t="s">
        <v>82</v>
      </c>
      <c r="B27" s="22" t="s">
        <v>316</v>
      </c>
      <c r="C27" s="18" t="s">
        <v>317</v>
      </c>
      <c r="D27" s="19" t="s">
        <v>318</v>
      </c>
      <c r="E27" s="20" t="s">
        <v>319</v>
      </c>
      <c r="F27" s="21" t="s">
        <v>320</v>
      </c>
    </row>
    <row r="28" customFormat="false" ht="18" hidden="false" customHeight="true" outlineLevel="0" collapsed="false">
      <c r="A28" s="8" t="s">
        <v>321</v>
      </c>
      <c r="B28" s="8"/>
      <c r="C28" s="8"/>
      <c r="D28" s="8"/>
      <c r="E28" s="8"/>
      <c r="F28" s="8"/>
    </row>
    <row r="29" customFormat="false" ht="57.75" hidden="false" customHeight="true" outlineLevel="0" collapsed="false">
      <c r="A29" s="9" t="s">
        <v>88</v>
      </c>
      <c r="B29" s="17" t="s">
        <v>322</v>
      </c>
      <c r="C29" s="18" t="s">
        <v>323</v>
      </c>
      <c r="D29" s="19" t="s">
        <v>324</v>
      </c>
      <c r="E29" s="20" t="s">
        <v>325</v>
      </c>
      <c r="F29" s="21" t="s">
        <v>326</v>
      </c>
    </row>
    <row r="30" customFormat="false" ht="57.75" hidden="false" customHeight="true" outlineLevel="0" collapsed="false">
      <c r="A30" s="11" t="s">
        <v>93</v>
      </c>
      <c r="B30" s="22" t="s">
        <v>327</v>
      </c>
      <c r="C30" s="18" t="s">
        <v>328</v>
      </c>
      <c r="D30" s="19" t="s">
        <v>329</v>
      </c>
      <c r="E30" s="20" t="s">
        <v>330</v>
      </c>
      <c r="F30" s="21" t="s">
        <v>331</v>
      </c>
    </row>
    <row r="31" customFormat="false" ht="18" hidden="false" customHeight="true" outlineLevel="0" collapsed="false">
      <c r="A31" s="8" t="s">
        <v>332</v>
      </c>
      <c r="B31" s="8"/>
      <c r="C31" s="8"/>
      <c r="D31" s="8"/>
      <c r="E31" s="8"/>
      <c r="F31" s="8"/>
    </row>
    <row r="32" customFormat="false" ht="57.75" hidden="false" customHeight="true" outlineLevel="0" collapsed="false">
      <c r="A32" s="9" t="s">
        <v>99</v>
      </c>
      <c r="B32" s="17" t="s">
        <v>333</v>
      </c>
      <c r="C32" s="18" t="s">
        <v>334</v>
      </c>
      <c r="D32" s="19" t="s">
        <v>335</v>
      </c>
      <c r="E32" s="20" t="s">
        <v>336</v>
      </c>
      <c r="F32" s="21" t="s">
        <v>337</v>
      </c>
    </row>
    <row r="33" customFormat="false" ht="57.75" hidden="false" customHeight="true" outlineLevel="0" collapsed="false">
      <c r="A33" s="11" t="s">
        <v>103</v>
      </c>
      <c r="B33" s="22" t="s">
        <v>338</v>
      </c>
      <c r="C33" s="18" t="s">
        <v>339</v>
      </c>
      <c r="D33" s="19" t="s">
        <v>340</v>
      </c>
      <c r="E33" s="20" t="s">
        <v>341</v>
      </c>
      <c r="F33" s="21" t="s">
        <v>342</v>
      </c>
    </row>
  </sheetData>
  <mergeCells count="10">
    <mergeCell ref="A1:F1"/>
    <mergeCell ref="A2:F2"/>
    <mergeCell ref="A3:F3"/>
    <mergeCell ref="A12:F12"/>
    <mergeCell ref="A14:F14"/>
    <mergeCell ref="A18:F18"/>
    <mergeCell ref="A22:F22"/>
    <mergeCell ref="A25:F25"/>
    <mergeCell ref="A28:F28"/>
    <mergeCell ref="A31: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6"/>
    <col collapsed="false" customWidth="true" hidden="false" outlineLevel="0" max="3" min="3" style="0" width="34"/>
    <col collapsed="false" customWidth="true" hidden="false" outlineLevel="0" max="4" min="4" style="0" width="12"/>
    <col collapsed="false" customWidth="true" hidden="false" outlineLevel="0" max="5" min="5" style="0" width="30"/>
  </cols>
  <sheetData>
    <row r="1" customFormat="false" ht="37.5" hidden="false" customHeight="true" outlineLevel="0" collapsed="false">
      <c r="A1" s="1" t="s">
        <v>343</v>
      </c>
      <c r="B1" s="1"/>
      <c r="C1" s="1"/>
      <c r="D1" s="1"/>
      <c r="E1" s="1"/>
    </row>
    <row r="2" customFormat="false" ht="21.75" hidden="false" customHeight="true" outlineLevel="0" collapsed="false">
      <c r="A2" s="2" t="s">
        <v>344</v>
      </c>
      <c r="B2" s="2"/>
      <c r="C2" s="2"/>
      <c r="D2" s="2"/>
      <c r="E2" s="2"/>
    </row>
    <row r="3" customFormat="false" ht="19.5" hidden="false" customHeight="true" outlineLevel="0" collapsed="false">
      <c r="A3" s="3" t="s">
        <v>345</v>
      </c>
      <c r="B3" s="3"/>
      <c r="C3" s="3"/>
      <c r="D3" s="3"/>
      <c r="E3" s="3"/>
    </row>
    <row r="4" customFormat="false" ht="18" hidden="false" customHeight="true" outlineLevel="0" collapsed="false">
      <c r="A4" s="5" t="s">
        <v>346</v>
      </c>
      <c r="B4" s="5"/>
      <c r="C4" s="5"/>
      <c r="D4" s="5"/>
      <c r="E4" s="5"/>
    </row>
    <row r="5" customFormat="false" ht="18" hidden="false" customHeight="true" outlineLevel="0" collapsed="false">
      <c r="A5" s="5" t="s">
        <v>347</v>
      </c>
      <c r="B5" s="5"/>
      <c r="C5" s="5"/>
      <c r="D5" s="5"/>
      <c r="E5" s="5"/>
    </row>
    <row r="6" customFormat="false" ht="18" hidden="false" customHeight="true" outlineLevel="0" collapsed="false">
      <c r="A6" s="5" t="s">
        <v>348</v>
      </c>
      <c r="B6" s="5"/>
      <c r="C6" s="5"/>
      <c r="D6" s="5"/>
      <c r="E6" s="5"/>
    </row>
    <row r="7" customFormat="false" ht="18" hidden="false" customHeight="true" outlineLevel="0" collapsed="false">
      <c r="A7" s="5" t="s">
        <v>349</v>
      </c>
      <c r="B7" s="5"/>
      <c r="C7" s="5"/>
      <c r="D7" s="5"/>
      <c r="E7" s="5"/>
    </row>
    <row r="8" customFormat="false" ht="19.5" hidden="false" customHeight="true" outlineLevel="0" collapsed="false">
      <c r="A8" s="14" t="s">
        <v>350</v>
      </c>
      <c r="B8" s="14"/>
      <c r="C8" s="14"/>
      <c r="D8" s="14"/>
      <c r="E8" s="14"/>
    </row>
    <row r="9" customFormat="false" ht="24" hidden="false" customHeight="true" outlineLevel="0" collapsed="false">
      <c r="A9" s="7" t="s">
        <v>26</v>
      </c>
      <c r="B9" s="7" t="s">
        <v>351</v>
      </c>
      <c r="C9" s="7" t="s">
        <v>352</v>
      </c>
      <c r="D9" s="7" t="s">
        <v>353</v>
      </c>
      <c r="E9" s="7" t="s">
        <v>354</v>
      </c>
    </row>
    <row r="10" customFormat="false" ht="18" hidden="false" customHeight="true" outlineLevel="0" collapsed="false">
      <c r="A10" s="8" t="s">
        <v>355</v>
      </c>
      <c r="B10" s="8"/>
      <c r="C10" s="8"/>
      <c r="D10" s="8"/>
      <c r="E10" s="8"/>
    </row>
    <row r="11" customFormat="false" ht="30" hidden="false" customHeight="true" outlineLevel="0" collapsed="false">
      <c r="A11" s="9" t="s">
        <v>33</v>
      </c>
      <c r="B11" s="5" t="s">
        <v>356</v>
      </c>
      <c r="C11" s="5"/>
      <c r="D11" s="10"/>
      <c r="E11" s="5"/>
    </row>
    <row r="12" customFormat="false" ht="30" hidden="false" customHeight="true" outlineLevel="0" collapsed="false">
      <c r="A12" s="11" t="s">
        <v>39</v>
      </c>
      <c r="B12" s="12" t="s">
        <v>357</v>
      </c>
      <c r="C12" s="12"/>
      <c r="D12" s="13"/>
      <c r="E12" s="12"/>
    </row>
    <row r="13" customFormat="false" ht="30" hidden="false" customHeight="true" outlineLevel="0" collapsed="false">
      <c r="A13" s="9" t="s">
        <v>45</v>
      </c>
      <c r="B13" s="5" t="s">
        <v>358</v>
      </c>
      <c r="C13" s="5"/>
      <c r="D13" s="10"/>
      <c r="E13" s="5"/>
    </row>
    <row r="14" customFormat="false" ht="19.5" hidden="false" customHeight="true" outlineLevel="0" collapsed="false">
      <c r="A14" s="11" t="s">
        <v>359</v>
      </c>
      <c r="B14" s="22" t="s">
        <v>360</v>
      </c>
      <c r="C14" s="13"/>
      <c r="D14" s="11" t="s">
        <v>361</v>
      </c>
      <c r="E14" s="12"/>
    </row>
    <row r="15" customFormat="false" ht="18" hidden="false" customHeight="true" outlineLevel="0" collapsed="false">
      <c r="A15" s="8" t="s">
        <v>362</v>
      </c>
      <c r="B15" s="8"/>
      <c r="C15" s="8"/>
      <c r="D15" s="8"/>
      <c r="E15" s="8"/>
    </row>
    <row r="16" customFormat="false" ht="30" hidden="false" customHeight="true" outlineLevel="0" collapsed="false">
      <c r="A16" s="9" t="s">
        <v>51</v>
      </c>
      <c r="B16" s="5" t="s">
        <v>363</v>
      </c>
      <c r="C16" s="5"/>
      <c r="D16" s="10"/>
      <c r="E16" s="5"/>
    </row>
    <row r="17" customFormat="false" ht="30" hidden="false" customHeight="true" outlineLevel="0" collapsed="false">
      <c r="A17" s="11" t="s">
        <v>55</v>
      </c>
      <c r="B17" s="12" t="s">
        <v>364</v>
      </c>
      <c r="C17" s="12"/>
      <c r="D17" s="13"/>
      <c r="E17" s="12"/>
    </row>
    <row r="18" customFormat="false" ht="30" hidden="false" customHeight="true" outlineLevel="0" collapsed="false">
      <c r="A18" s="9" t="s">
        <v>60</v>
      </c>
      <c r="B18" s="5" t="s">
        <v>365</v>
      </c>
      <c r="C18" s="5"/>
      <c r="D18" s="10"/>
      <c r="E18" s="5"/>
    </row>
    <row r="19" customFormat="false" ht="19.5" hidden="false" customHeight="true" outlineLevel="0" collapsed="false">
      <c r="A19" s="11" t="s">
        <v>359</v>
      </c>
      <c r="B19" s="22" t="s">
        <v>366</v>
      </c>
      <c r="C19" s="13"/>
      <c r="D19" s="11" t="s">
        <v>361</v>
      </c>
      <c r="E19" s="12"/>
    </row>
    <row r="20" customFormat="false" ht="18" hidden="false" customHeight="true" outlineLevel="0" collapsed="false">
      <c r="A20" s="8" t="s">
        <v>367</v>
      </c>
      <c r="B20" s="8"/>
      <c r="C20" s="8"/>
      <c r="D20" s="8"/>
      <c r="E20" s="8"/>
    </row>
    <row r="21" customFormat="false" ht="30" hidden="false" customHeight="true" outlineLevel="0" collapsed="false">
      <c r="A21" s="9" t="s">
        <v>67</v>
      </c>
      <c r="B21" s="5" t="s">
        <v>368</v>
      </c>
      <c r="C21" s="5"/>
      <c r="D21" s="10"/>
      <c r="E21" s="5"/>
    </row>
    <row r="22" customFormat="false" ht="30" hidden="false" customHeight="true" outlineLevel="0" collapsed="false">
      <c r="A22" s="11" t="s">
        <v>72</v>
      </c>
      <c r="B22" s="12" t="s">
        <v>369</v>
      </c>
      <c r="C22" s="12"/>
      <c r="D22" s="13"/>
      <c r="E22" s="12"/>
    </row>
    <row r="23" customFormat="false" ht="19.5" hidden="false" customHeight="true" outlineLevel="0" collapsed="false">
      <c r="A23" s="11" t="s">
        <v>359</v>
      </c>
      <c r="B23" s="22" t="s">
        <v>370</v>
      </c>
      <c r="C23" s="13"/>
      <c r="D23" s="11" t="s">
        <v>361</v>
      </c>
      <c r="E23" s="12"/>
    </row>
    <row r="24" customFormat="false" ht="18" hidden="false" customHeight="true" outlineLevel="0" collapsed="false">
      <c r="A24" s="8" t="s">
        <v>371</v>
      </c>
      <c r="B24" s="8"/>
      <c r="C24" s="8"/>
      <c r="D24" s="8"/>
      <c r="E24" s="8"/>
    </row>
    <row r="25" customFormat="false" ht="30" hidden="false" customHeight="true" outlineLevel="0" collapsed="false">
      <c r="A25" s="9" t="s">
        <v>78</v>
      </c>
      <c r="B25" s="5" t="s">
        <v>372</v>
      </c>
      <c r="C25" s="5"/>
      <c r="D25" s="10"/>
      <c r="E25" s="5"/>
    </row>
    <row r="26" customFormat="false" ht="30" hidden="false" customHeight="true" outlineLevel="0" collapsed="false">
      <c r="A26" s="11" t="s">
        <v>82</v>
      </c>
      <c r="B26" s="12" t="s">
        <v>373</v>
      </c>
      <c r="C26" s="12"/>
      <c r="D26" s="13"/>
      <c r="E26" s="12"/>
    </row>
    <row r="27" customFormat="false" ht="19.5" hidden="false" customHeight="true" outlineLevel="0" collapsed="false">
      <c r="A27" s="11" t="s">
        <v>359</v>
      </c>
      <c r="B27" s="22" t="s">
        <v>374</v>
      </c>
      <c r="C27" s="13"/>
      <c r="D27" s="11" t="s">
        <v>361</v>
      </c>
      <c r="E27" s="12"/>
    </row>
    <row r="28" customFormat="false" ht="18" hidden="false" customHeight="true" outlineLevel="0" collapsed="false">
      <c r="A28" s="8" t="s">
        <v>375</v>
      </c>
      <c r="B28" s="8"/>
      <c r="C28" s="8"/>
      <c r="D28" s="8"/>
      <c r="E28" s="8"/>
    </row>
    <row r="29" customFormat="false" ht="30" hidden="false" customHeight="true" outlineLevel="0" collapsed="false">
      <c r="A29" s="9" t="s">
        <v>88</v>
      </c>
      <c r="B29" s="5" t="s">
        <v>376</v>
      </c>
      <c r="C29" s="5"/>
      <c r="D29" s="10"/>
      <c r="E29" s="5"/>
    </row>
    <row r="30" customFormat="false" ht="30" hidden="false" customHeight="true" outlineLevel="0" collapsed="false">
      <c r="A30" s="11" t="s">
        <v>93</v>
      </c>
      <c r="B30" s="12" t="s">
        <v>377</v>
      </c>
      <c r="C30" s="12"/>
      <c r="D30" s="13"/>
      <c r="E30" s="12"/>
    </row>
    <row r="31" customFormat="false" ht="19.5" hidden="false" customHeight="true" outlineLevel="0" collapsed="false">
      <c r="A31" s="11" t="s">
        <v>359</v>
      </c>
      <c r="B31" s="22" t="s">
        <v>378</v>
      </c>
      <c r="C31" s="13"/>
      <c r="D31" s="11" t="s">
        <v>361</v>
      </c>
      <c r="E31" s="12"/>
    </row>
    <row r="32" customFormat="false" ht="18" hidden="false" customHeight="true" outlineLevel="0" collapsed="false">
      <c r="A32" s="8" t="s">
        <v>379</v>
      </c>
      <c r="B32" s="8"/>
      <c r="C32" s="8"/>
      <c r="D32" s="8"/>
      <c r="E32" s="8"/>
    </row>
    <row r="33" customFormat="false" ht="30" hidden="false" customHeight="true" outlineLevel="0" collapsed="false">
      <c r="A33" s="9" t="s">
        <v>99</v>
      </c>
      <c r="B33" s="5" t="s">
        <v>380</v>
      </c>
      <c r="C33" s="5"/>
      <c r="D33" s="10"/>
      <c r="E33" s="5"/>
    </row>
    <row r="34" customFormat="false" ht="30" hidden="false" customHeight="true" outlineLevel="0" collapsed="false">
      <c r="A34" s="11" t="s">
        <v>103</v>
      </c>
      <c r="B34" s="12" t="s">
        <v>381</v>
      </c>
      <c r="C34" s="12"/>
      <c r="D34" s="13"/>
      <c r="E34" s="12"/>
    </row>
    <row r="35" customFormat="false" ht="19.5" hidden="false" customHeight="true" outlineLevel="0" collapsed="false">
      <c r="A35" s="11" t="s">
        <v>359</v>
      </c>
      <c r="B35" s="22" t="s">
        <v>382</v>
      </c>
      <c r="C35" s="13"/>
      <c r="D35" s="11" t="s">
        <v>361</v>
      </c>
      <c r="E35" s="12"/>
    </row>
    <row r="36" customFormat="false" ht="19.5" hidden="false" customHeight="true" outlineLevel="0" collapsed="false">
      <c r="A36" s="3" t="s">
        <v>383</v>
      </c>
      <c r="B36" s="3"/>
      <c r="C36" s="3"/>
      <c r="D36" s="3"/>
      <c r="E36" s="3"/>
    </row>
    <row r="37" customFormat="false" ht="19.5" hidden="false" customHeight="true" outlineLevel="0" collapsed="false">
      <c r="A37" s="23" t="s">
        <v>384</v>
      </c>
      <c r="B37" s="23"/>
      <c r="C37" s="23"/>
      <c r="D37" s="23"/>
      <c r="E37" s="23"/>
    </row>
    <row r="38" customFormat="false" ht="18" hidden="false" customHeight="true" outlineLevel="0" collapsed="false">
      <c r="A38" s="5" t="s">
        <v>385</v>
      </c>
      <c r="B38" s="5"/>
      <c r="C38" s="5"/>
      <c r="D38" s="5"/>
      <c r="E38" s="5"/>
    </row>
    <row r="39" customFormat="false" ht="21.75" hidden="false" customHeight="true" outlineLevel="0" collapsed="false">
      <c r="A39" s="5" t="s">
        <v>386</v>
      </c>
      <c r="B39" s="5"/>
      <c r="C39" s="5"/>
      <c r="D39" s="5"/>
      <c r="E39" s="5"/>
    </row>
    <row r="40" customFormat="false" ht="21.75" hidden="false" customHeight="true" outlineLevel="0" collapsed="false">
      <c r="A40" s="5" t="s">
        <v>387</v>
      </c>
      <c r="B40" s="5"/>
      <c r="C40" s="5"/>
      <c r="D40" s="5"/>
      <c r="E40" s="5"/>
    </row>
    <row r="41" customFormat="false" ht="21.75" hidden="false" customHeight="true" outlineLevel="0" collapsed="false">
      <c r="A41" s="5" t="s">
        <v>388</v>
      </c>
      <c r="B41" s="5"/>
      <c r="C41" s="5"/>
      <c r="D41" s="5"/>
      <c r="E41" s="5"/>
    </row>
    <row r="42" customFormat="false" ht="19.5" hidden="false" customHeight="true" outlineLevel="0" collapsed="false">
      <c r="A42" s="16" t="s">
        <v>389</v>
      </c>
      <c r="B42" s="16"/>
      <c r="C42" s="16"/>
      <c r="D42" s="16"/>
      <c r="E42" s="16"/>
    </row>
  </sheetData>
  <mergeCells count="21">
    <mergeCell ref="A1:E1"/>
    <mergeCell ref="A2:E2"/>
    <mergeCell ref="A3:E3"/>
    <mergeCell ref="A4:E4"/>
    <mergeCell ref="A5:E5"/>
    <mergeCell ref="A6:E6"/>
    <mergeCell ref="A7:E7"/>
    <mergeCell ref="A8:E8"/>
    <mergeCell ref="A10:E10"/>
    <mergeCell ref="A15:E15"/>
    <mergeCell ref="A20:E20"/>
    <mergeCell ref="A24:E24"/>
    <mergeCell ref="A28:E28"/>
    <mergeCell ref="A32:E32"/>
    <mergeCell ref="A36:E36"/>
    <mergeCell ref="A37:E37"/>
    <mergeCell ref="A38:E38"/>
    <mergeCell ref="A39:E39"/>
    <mergeCell ref="A40:E40"/>
    <mergeCell ref="A41:E41"/>
    <mergeCell ref="A42:E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52"/>
    <col collapsed="false" customWidth="true" hidden="false" outlineLevel="0" max="3" min="3" style="0" width="46"/>
    <col collapsed="false" customWidth="true" hidden="false" outlineLevel="0" max="4" min="4" style="0" width="10"/>
    <col collapsed="false" customWidth="true" hidden="false" outlineLevel="0" max="5" min="5" style="0" width="24"/>
  </cols>
  <sheetData>
    <row r="1" customFormat="false" ht="37.5" hidden="false" customHeight="true" outlineLevel="0" collapsed="false">
      <c r="A1" s="1" t="s">
        <v>390</v>
      </c>
      <c r="B1" s="1"/>
      <c r="C1" s="1"/>
      <c r="D1" s="1"/>
      <c r="E1" s="1"/>
    </row>
    <row r="2" customFormat="false" ht="21.75" hidden="false" customHeight="true" outlineLevel="0" collapsed="false">
      <c r="A2" s="2" t="s">
        <v>391</v>
      </c>
      <c r="B2" s="2"/>
      <c r="C2" s="2"/>
      <c r="D2" s="2"/>
      <c r="E2" s="2"/>
    </row>
    <row r="3" customFormat="false" ht="39.75" hidden="false" customHeight="true" outlineLevel="0" collapsed="false">
      <c r="A3" s="6" t="s">
        <v>392</v>
      </c>
      <c r="B3" s="6"/>
      <c r="C3" s="6"/>
      <c r="D3" s="6"/>
      <c r="E3" s="6"/>
    </row>
    <row r="4" customFormat="false" ht="24" hidden="false" customHeight="true" outlineLevel="0" collapsed="false">
      <c r="A4" s="7" t="s">
        <v>26</v>
      </c>
      <c r="B4" s="7" t="s">
        <v>393</v>
      </c>
      <c r="C4" s="7" t="s">
        <v>394</v>
      </c>
      <c r="D4" s="7" t="s">
        <v>395</v>
      </c>
      <c r="E4" s="7" t="s">
        <v>396</v>
      </c>
    </row>
    <row r="5" customFormat="false" ht="18" hidden="false" customHeight="true" outlineLevel="0" collapsed="false">
      <c r="A5" s="8" t="s">
        <v>397</v>
      </c>
      <c r="B5" s="8"/>
      <c r="C5" s="8"/>
      <c r="D5" s="8"/>
      <c r="E5" s="8"/>
    </row>
    <row r="6" customFormat="false" ht="72" hidden="false" customHeight="true" outlineLevel="0" collapsed="false">
      <c r="A6" s="9" t="s">
        <v>113</v>
      </c>
      <c r="B6" s="5" t="s">
        <v>398</v>
      </c>
      <c r="C6" s="5" t="s">
        <v>399</v>
      </c>
      <c r="D6" s="10"/>
      <c r="E6" s="5"/>
    </row>
    <row r="7" customFormat="false" ht="72" hidden="false" customHeight="true" outlineLevel="0" collapsed="false">
      <c r="A7" s="11" t="s">
        <v>119</v>
      </c>
      <c r="B7" s="12" t="s">
        <v>400</v>
      </c>
      <c r="C7" s="12" t="s">
        <v>401</v>
      </c>
      <c r="D7" s="13"/>
      <c r="E7" s="12"/>
    </row>
    <row r="8" customFormat="false" ht="18" hidden="false" customHeight="true" outlineLevel="0" collapsed="false">
      <c r="A8" s="8" t="s">
        <v>402</v>
      </c>
      <c r="B8" s="8"/>
      <c r="C8" s="8"/>
      <c r="D8" s="8"/>
      <c r="E8" s="8"/>
    </row>
    <row r="9" customFormat="false" ht="72" hidden="false" customHeight="true" outlineLevel="0" collapsed="false">
      <c r="A9" s="9" t="s">
        <v>125</v>
      </c>
      <c r="B9" s="5" t="s">
        <v>403</v>
      </c>
      <c r="C9" s="5" t="s">
        <v>404</v>
      </c>
      <c r="D9" s="10"/>
      <c r="E9" s="5"/>
    </row>
    <row r="10" customFormat="false" ht="72" hidden="false" customHeight="true" outlineLevel="0" collapsed="false">
      <c r="A10" s="11" t="s">
        <v>131</v>
      </c>
      <c r="B10" s="12" t="s">
        <v>405</v>
      </c>
      <c r="C10" s="12" t="s">
        <v>406</v>
      </c>
      <c r="D10" s="13"/>
      <c r="E10" s="12"/>
    </row>
    <row r="11" customFormat="false" ht="18" hidden="false" customHeight="true" outlineLevel="0" collapsed="false">
      <c r="A11" s="8" t="s">
        <v>407</v>
      </c>
      <c r="B11" s="8"/>
      <c r="C11" s="8"/>
      <c r="D11" s="8"/>
      <c r="E11" s="8"/>
    </row>
    <row r="12" customFormat="false" ht="72" hidden="false" customHeight="true" outlineLevel="0" collapsed="false">
      <c r="A12" s="9" t="s">
        <v>136</v>
      </c>
      <c r="B12" s="5" t="s">
        <v>408</v>
      </c>
      <c r="C12" s="5" t="s">
        <v>409</v>
      </c>
      <c r="D12" s="10"/>
      <c r="E12" s="5"/>
    </row>
    <row r="13" customFormat="false" ht="72" hidden="false" customHeight="true" outlineLevel="0" collapsed="false">
      <c r="A13" s="11" t="s">
        <v>142</v>
      </c>
      <c r="B13" s="12" t="s">
        <v>410</v>
      </c>
      <c r="C13" s="12" t="s">
        <v>411</v>
      </c>
      <c r="D13" s="13"/>
      <c r="E13" s="12"/>
    </row>
    <row r="14" customFormat="false" ht="18" hidden="false" customHeight="true" outlineLevel="0" collapsed="false">
      <c r="A14" s="8" t="s">
        <v>412</v>
      </c>
      <c r="B14" s="8"/>
      <c r="C14" s="8"/>
      <c r="D14" s="8"/>
      <c r="E14" s="8"/>
    </row>
    <row r="15" customFormat="false" ht="72" hidden="false" customHeight="true" outlineLevel="0" collapsed="false">
      <c r="A15" s="9" t="s">
        <v>413</v>
      </c>
      <c r="B15" s="5" t="s">
        <v>414</v>
      </c>
      <c r="C15" s="5" t="s">
        <v>415</v>
      </c>
      <c r="D15" s="10"/>
      <c r="E15" s="5"/>
    </row>
    <row r="16" customFormat="false" ht="72" hidden="false" customHeight="true" outlineLevel="0" collapsed="false">
      <c r="A16" s="11" t="s">
        <v>416</v>
      </c>
      <c r="B16" s="12" t="s">
        <v>417</v>
      </c>
      <c r="C16" s="12" t="s">
        <v>418</v>
      </c>
      <c r="D16" s="13"/>
      <c r="E16" s="12"/>
    </row>
  </sheetData>
  <mergeCells count="7">
    <mergeCell ref="A1:E1"/>
    <mergeCell ref="A2:E2"/>
    <mergeCell ref="A3:E3"/>
    <mergeCell ref="A5:E5"/>
    <mergeCell ref="A8:E8"/>
    <mergeCell ref="A11:E11"/>
    <mergeCell ref="A14:E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4"/>
    <col collapsed="false" customWidth="true" hidden="false" outlineLevel="0" max="4" min="4" style="0" width="16"/>
    <col collapsed="false" customWidth="true" hidden="false" outlineLevel="0" max="5" min="5" style="0" width="20"/>
    <col collapsed="false" customWidth="true" hidden="false" outlineLevel="0" max="6" min="6" style="0" width="30"/>
  </cols>
  <sheetData>
    <row r="1" customFormat="false" ht="37.5" hidden="false" customHeight="true" outlineLevel="0" collapsed="false">
      <c r="A1" s="1" t="s">
        <v>419</v>
      </c>
      <c r="B1" s="1"/>
      <c r="C1" s="1"/>
      <c r="D1" s="1"/>
      <c r="E1" s="1"/>
      <c r="F1" s="1"/>
    </row>
    <row r="2" customFormat="false" ht="21.75" hidden="false" customHeight="true" outlineLevel="0" collapsed="false">
      <c r="A2" s="2" t="s">
        <v>420</v>
      </c>
      <c r="B2" s="2"/>
      <c r="C2" s="2"/>
      <c r="D2" s="2"/>
      <c r="E2" s="2"/>
      <c r="F2" s="2"/>
    </row>
    <row r="3" customFormat="false" ht="19.5" hidden="false" customHeight="true" outlineLevel="0" collapsed="false">
      <c r="A3" s="3" t="s">
        <v>421</v>
      </c>
      <c r="B3" s="3"/>
      <c r="C3" s="3"/>
      <c r="D3" s="3"/>
      <c r="E3" s="3"/>
      <c r="F3" s="3"/>
    </row>
    <row r="4" customFormat="false" ht="18" hidden="false" customHeight="true" outlineLevel="0" collapsed="false">
      <c r="A4" s="5" t="s">
        <v>422</v>
      </c>
      <c r="B4" s="5"/>
      <c r="C4" s="5"/>
      <c r="D4" s="5"/>
      <c r="E4" s="5"/>
      <c r="F4" s="5"/>
    </row>
    <row r="5" customFormat="false" ht="18" hidden="false" customHeight="true" outlineLevel="0" collapsed="false">
      <c r="A5" s="5" t="s">
        <v>423</v>
      </c>
      <c r="B5" s="5"/>
      <c r="C5" s="5"/>
      <c r="D5" s="5"/>
      <c r="E5" s="5"/>
      <c r="F5" s="5"/>
    </row>
    <row r="6" customFormat="false" ht="18" hidden="false" customHeight="true" outlineLevel="0" collapsed="false">
      <c r="A6" s="5" t="s">
        <v>424</v>
      </c>
      <c r="B6" s="5"/>
      <c r="C6" s="5"/>
      <c r="D6" s="5"/>
      <c r="E6" s="5"/>
      <c r="F6" s="5"/>
    </row>
    <row r="7" customFormat="false" ht="18" hidden="false" customHeight="true" outlineLevel="0" collapsed="false">
      <c r="A7" s="5" t="s">
        <v>425</v>
      </c>
      <c r="B7" s="5"/>
      <c r="C7" s="5"/>
      <c r="D7" s="5"/>
      <c r="E7" s="5"/>
      <c r="F7" s="5"/>
    </row>
    <row r="8" customFormat="false" ht="19.5" hidden="false" customHeight="true" outlineLevel="0" collapsed="false">
      <c r="A8" s="3" t="s">
        <v>426</v>
      </c>
      <c r="B8" s="3"/>
      <c r="C8" s="3"/>
      <c r="D8" s="3"/>
      <c r="E8" s="3"/>
      <c r="F8" s="3"/>
    </row>
    <row r="9" customFormat="false" ht="24" hidden="false" customHeight="true" outlineLevel="0" collapsed="false">
      <c r="A9" s="7" t="s">
        <v>252</v>
      </c>
      <c r="B9" s="7" t="s">
        <v>109</v>
      </c>
      <c r="C9" s="7" t="s">
        <v>395</v>
      </c>
      <c r="D9" s="7" t="s">
        <v>427</v>
      </c>
      <c r="E9" s="7" t="s">
        <v>428</v>
      </c>
      <c r="F9" s="7" t="s">
        <v>429</v>
      </c>
    </row>
    <row r="10" customFormat="false" ht="21.75" hidden="false" customHeight="true" outlineLevel="0" collapsed="false">
      <c r="A10" s="17" t="s">
        <v>430</v>
      </c>
      <c r="B10" s="10" t="s">
        <v>115</v>
      </c>
      <c r="C10" s="10"/>
      <c r="D10" s="10" t="str">
        <f aca="false">IF(C10="","",C10*0.28)</f>
        <v/>
      </c>
      <c r="E10" s="10" t="s">
        <v>431</v>
      </c>
      <c r="F10" s="5"/>
    </row>
    <row r="11" customFormat="false" ht="21.75" hidden="false" customHeight="true" outlineLevel="0" collapsed="false">
      <c r="A11" s="22" t="s">
        <v>432</v>
      </c>
      <c r="B11" s="13" t="s">
        <v>121</v>
      </c>
      <c r="C11" s="13"/>
      <c r="D11" s="13" t="str">
        <f aca="false">IF(C11="","",C11*0.2)</f>
        <v/>
      </c>
      <c r="E11" s="13" t="s">
        <v>431</v>
      </c>
      <c r="F11" s="12"/>
    </row>
    <row r="12" customFormat="false" ht="21.75" hidden="false" customHeight="true" outlineLevel="0" collapsed="false">
      <c r="A12" s="17" t="s">
        <v>433</v>
      </c>
      <c r="B12" s="10" t="s">
        <v>127</v>
      </c>
      <c r="C12" s="10"/>
      <c r="D12" s="10" t="str">
        <f aca="false">IF(C12="","",C12*0.18)</f>
        <v/>
      </c>
      <c r="E12" s="10" t="s">
        <v>431</v>
      </c>
      <c r="F12" s="5"/>
    </row>
    <row r="13" customFormat="false" ht="21.75" hidden="false" customHeight="true" outlineLevel="0" collapsed="false">
      <c r="A13" s="22" t="s">
        <v>434</v>
      </c>
      <c r="B13" s="13" t="s">
        <v>133</v>
      </c>
      <c r="C13" s="13"/>
      <c r="D13" s="13" t="str">
        <f aca="false">IF(C13="","",C13*0.13)</f>
        <v/>
      </c>
      <c r="E13" s="13" t="s">
        <v>431</v>
      </c>
      <c r="F13" s="12"/>
    </row>
    <row r="14" customFormat="false" ht="21.75" hidden="false" customHeight="true" outlineLevel="0" collapsed="false">
      <c r="A14" s="17" t="s">
        <v>435</v>
      </c>
      <c r="B14" s="10" t="s">
        <v>138</v>
      </c>
      <c r="C14" s="10"/>
      <c r="D14" s="10" t="str">
        <f aca="false">IF(C14="","",C14*0.11)</f>
        <v/>
      </c>
      <c r="E14" s="10" t="s">
        <v>431</v>
      </c>
      <c r="F14" s="5"/>
    </row>
    <row r="15" customFormat="false" ht="21.75" hidden="false" customHeight="true" outlineLevel="0" collapsed="false">
      <c r="A15" s="22" t="s">
        <v>436</v>
      </c>
      <c r="B15" s="13" t="s">
        <v>144</v>
      </c>
      <c r="C15" s="13"/>
      <c r="D15" s="13" t="str">
        <f aca="false">IF(C15="","",C15*0.1)</f>
        <v/>
      </c>
      <c r="E15" s="13" t="s">
        <v>431</v>
      </c>
      <c r="F15" s="12"/>
    </row>
    <row r="16" customFormat="false" ht="21.75" hidden="false" customHeight="true" outlineLevel="0" collapsed="false">
      <c r="A16" s="14" t="s">
        <v>437</v>
      </c>
      <c r="B16" s="8"/>
      <c r="C16" s="8"/>
      <c r="D16" s="7" t="n">
        <f aca="false">SUM(D10:D15)</f>
        <v>0</v>
      </c>
      <c r="E16" s="8"/>
      <c r="F16" s="8"/>
    </row>
    <row r="17" customFormat="false" ht="19.5" hidden="false" customHeight="true" outlineLevel="0" collapsed="false">
      <c r="A17" s="3" t="s">
        <v>438</v>
      </c>
      <c r="B17" s="3"/>
      <c r="C17" s="3"/>
      <c r="D17" s="3"/>
      <c r="E17" s="3"/>
      <c r="F17" s="3"/>
    </row>
    <row r="18" customFormat="false" ht="19.5" hidden="false" customHeight="true" outlineLevel="0" collapsed="false">
      <c r="A18" s="5" t="s">
        <v>439</v>
      </c>
      <c r="B18" s="5"/>
      <c r="C18" s="5"/>
      <c r="D18" s="5"/>
      <c r="E18" s="5"/>
      <c r="F18" s="5"/>
    </row>
    <row r="19" customFormat="false" ht="19.5" hidden="false" customHeight="true" outlineLevel="0" collapsed="false">
      <c r="A19" s="5" t="s">
        <v>440</v>
      </c>
      <c r="B19" s="5"/>
      <c r="C19" s="5"/>
      <c r="D19" s="5"/>
      <c r="E19" s="5"/>
      <c r="F19" s="5"/>
    </row>
    <row r="20" customFormat="false" ht="19.5" hidden="false" customHeight="true" outlineLevel="0" collapsed="false">
      <c r="A20" s="5" t="s">
        <v>441</v>
      </c>
      <c r="B20" s="5"/>
      <c r="C20" s="5"/>
      <c r="D20" s="5"/>
      <c r="E20" s="5"/>
      <c r="F20" s="5"/>
    </row>
    <row r="21" customFormat="false" ht="19.5" hidden="false" customHeight="true" outlineLevel="0" collapsed="false">
      <c r="A21" s="5" t="s">
        <v>442</v>
      </c>
      <c r="B21" s="5"/>
      <c r="C21" s="5"/>
      <c r="D21" s="5"/>
      <c r="E21" s="5"/>
      <c r="F21" s="5"/>
    </row>
    <row r="22" customFormat="false" ht="19.5" hidden="false" customHeight="true" outlineLevel="0" collapsed="false">
      <c r="A22" s="5" t="s">
        <v>443</v>
      </c>
      <c r="B22" s="5"/>
      <c r="C22" s="5"/>
      <c r="D22" s="5"/>
      <c r="E22" s="5"/>
      <c r="F22" s="5"/>
    </row>
    <row r="23" customFormat="false" ht="19.5" hidden="false" customHeight="true" outlineLevel="0" collapsed="false">
      <c r="A23" s="5" t="s">
        <v>444</v>
      </c>
      <c r="B23" s="5"/>
      <c r="C23" s="5"/>
      <c r="D23" s="5"/>
      <c r="E23" s="5"/>
      <c r="F23" s="5"/>
    </row>
    <row r="24" customFormat="false" ht="19.5" hidden="false" customHeight="true" outlineLevel="0" collapsed="false">
      <c r="A24" s="3" t="s">
        <v>445</v>
      </c>
      <c r="B24" s="3"/>
      <c r="C24" s="3"/>
      <c r="D24" s="3"/>
      <c r="E24" s="3"/>
      <c r="F24" s="3"/>
    </row>
    <row r="25" customFormat="false" ht="21.75" hidden="false" customHeight="true" outlineLevel="0" collapsed="false">
      <c r="A25" s="17" t="s">
        <v>446</v>
      </c>
      <c r="B25" s="5" t="s">
        <v>447</v>
      </c>
      <c r="C25" s="5"/>
      <c r="D25" s="5"/>
      <c r="E25" s="5"/>
      <c r="F25" s="5"/>
    </row>
    <row r="26" customFormat="false" ht="21.75" hidden="false" customHeight="true" outlineLevel="0" collapsed="false">
      <c r="A26" s="22" t="s">
        <v>448</v>
      </c>
      <c r="B26" s="12" t="s">
        <v>449</v>
      </c>
      <c r="C26" s="12"/>
      <c r="D26" s="12"/>
      <c r="E26" s="12"/>
      <c r="F26" s="12"/>
    </row>
    <row r="27" customFormat="false" ht="21.75" hidden="false" customHeight="true" outlineLevel="0" collapsed="false">
      <c r="A27" s="17" t="s">
        <v>450</v>
      </c>
      <c r="B27" s="5" t="s">
        <v>451</v>
      </c>
      <c r="C27" s="5"/>
      <c r="D27" s="5"/>
      <c r="E27" s="5"/>
      <c r="F27" s="5"/>
    </row>
    <row r="28" customFormat="false" ht="21.75" hidden="false" customHeight="true" outlineLevel="0" collapsed="false">
      <c r="A28" s="22" t="s">
        <v>452</v>
      </c>
      <c r="B28" s="12" t="s">
        <v>453</v>
      </c>
      <c r="C28" s="12"/>
      <c r="D28" s="12"/>
      <c r="E28" s="12"/>
      <c r="F28" s="12"/>
    </row>
  </sheetData>
  <mergeCells count="20">
    <mergeCell ref="A1:F1"/>
    <mergeCell ref="A2:F2"/>
    <mergeCell ref="A3:F3"/>
    <mergeCell ref="A4:F4"/>
    <mergeCell ref="A5:F5"/>
    <mergeCell ref="A6:F6"/>
    <mergeCell ref="A7:F7"/>
    <mergeCell ref="A8:F8"/>
    <mergeCell ref="A17:F17"/>
    <mergeCell ref="A18:F18"/>
    <mergeCell ref="A19:F19"/>
    <mergeCell ref="A20:F20"/>
    <mergeCell ref="A21:F21"/>
    <mergeCell ref="A22:F22"/>
    <mergeCell ref="A23:F23"/>
    <mergeCell ref="A24:F24"/>
    <mergeCell ref="B25:F25"/>
    <mergeCell ref="B26:F26"/>
    <mergeCell ref="B27:F27"/>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54"/>
    <col collapsed="false" customWidth="true" hidden="false" outlineLevel="0" max="4" min="4" style="0" width="22"/>
    <col collapsed="false" customWidth="true" hidden="false" outlineLevel="0" max="5" min="5" style="0" width="12"/>
  </cols>
  <sheetData>
    <row r="1" customFormat="false" ht="37.5" hidden="false" customHeight="true" outlineLevel="0" collapsed="false">
      <c r="A1" s="1" t="s">
        <v>454</v>
      </c>
      <c r="B1" s="1"/>
      <c r="C1" s="1"/>
      <c r="D1" s="1"/>
      <c r="E1" s="1"/>
    </row>
    <row r="2" customFormat="false" ht="21.75" hidden="false" customHeight="true" outlineLevel="0" collapsed="false">
      <c r="A2" s="2" t="s">
        <v>455</v>
      </c>
      <c r="B2" s="2"/>
      <c r="C2" s="2"/>
      <c r="D2" s="2"/>
      <c r="E2" s="2"/>
    </row>
    <row r="3" customFormat="false" ht="33.75" hidden="false" customHeight="true" outlineLevel="0" collapsed="false">
      <c r="A3" s="6" t="s">
        <v>456</v>
      </c>
      <c r="B3" s="6"/>
      <c r="C3" s="6"/>
      <c r="D3" s="6"/>
      <c r="E3" s="6"/>
    </row>
    <row r="4" customFormat="false" ht="33.75" hidden="false" customHeight="true" outlineLevel="0" collapsed="false">
      <c r="A4" s="6" t="s">
        <v>457</v>
      </c>
      <c r="B4" s="6"/>
      <c r="C4" s="6"/>
      <c r="D4" s="6"/>
      <c r="E4" s="6"/>
    </row>
    <row r="5" customFormat="false" ht="24" hidden="false" customHeight="true" outlineLevel="0" collapsed="false">
      <c r="A5" s="7" t="s">
        <v>458</v>
      </c>
      <c r="B5" s="7" t="s">
        <v>459</v>
      </c>
      <c r="C5" s="7" t="s">
        <v>460</v>
      </c>
      <c r="D5" s="7" t="s">
        <v>461</v>
      </c>
      <c r="E5" s="7" t="s">
        <v>462</v>
      </c>
    </row>
    <row r="6" customFormat="false" ht="18" hidden="false" customHeight="true" outlineLevel="0" collapsed="false">
      <c r="A6" s="8" t="s">
        <v>463</v>
      </c>
      <c r="B6" s="8"/>
      <c r="C6" s="8"/>
      <c r="D6" s="8"/>
      <c r="E6" s="8"/>
    </row>
    <row r="7" customFormat="false" ht="55.5" hidden="false" customHeight="true" outlineLevel="0" collapsed="false">
      <c r="A7" s="9" t="s">
        <v>464</v>
      </c>
      <c r="B7" s="5" t="s">
        <v>465</v>
      </c>
      <c r="C7" s="5" t="s">
        <v>466</v>
      </c>
      <c r="D7" s="10" t="s">
        <v>44</v>
      </c>
      <c r="E7" s="10" t="s">
        <v>467</v>
      </c>
    </row>
    <row r="8" customFormat="false" ht="55.5" hidden="false" customHeight="true" outlineLevel="0" collapsed="false">
      <c r="A8" s="11" t="s">
        <v>468</v>
      </c>
      <c r="B8" s="12" t="s">
        <v>469</v>
      </c>
      <c r="C8" s="12" t="s">
        <v>470</v>
      </c>
      <c r="D8" s="13" t="s">
        <v>44</v>
      </c>
      <c r="E8" s="13" t="s">
        <v>467</v>
      </c>
    </row>
    <row r="9" customFormat="false" ht="55.5" hidden="false" customHeight="true" outlineLevel="0" collapsed="false">
      <c r="A9" s="9" t="s">
        <v>471</v>
      </c>
      <c r="B9" s="5" t="s">
        <v>472</v>
      </c>
      <c r="C9" s="5" t="s">
        <v>473</v>
      </c>
      <c r="D9" s="10" t="s">
        <v>44</v>
      </c>
      <c r="E9" s="10" t="s">
        <v>467</v>
      </c>
    </row>
    <row r="10" customFormat="false" ht="55.5" hidden="false" customHeight="true" outlineLevel="0" collapsed="false">
      <c r="A10" s="11" t="s">
        <v>474</v>
      </c>
      <c r="B10" s="12" t="s">
        <v>475</v>
      </c>
      <c r="C10" s="12" t="s">
        <v>476</v>
      </c>
      <c r="D10" s="13" t="s">
        <v>44</v>
      </c>
      <c r="E10" s="13" t="s">
        <v>467</v>
      </c>
    </row>
    <row r="11" customFormat="false" ht="51.75" hidden="false" customHeight="true" outlineLevel="0" collapsed="false">
      <c r="A11" s="24" t="s">
        <v>477</v>
      </c>
      <c r="B11" s="24" t="s">
        <v>478</v>
      </c>
      <c r="C11" s="20" t="s">
        <v>479</v>
      </c>
      <c r="D11" s="25" t="s">
        <v>44</v>
      </c>
      <c r="E11" s="25" t="s">
        <v>467</v>
      </c>
    </row>
    <row r="12" customFormat="false" ht="18" hidden="false" customHeight="true" outlineLevel="0" collapsed="false">
      <c r="A12" s="8" t="s">
        <v>480</v>
      </c>
      <c r="B12" s="8"/>
      <c r="C12" s="8"/>
      <c r="D12" s="8"/>
      <c r="E12" s="8"/>
    </row>
    <row r="13" customFormat="false" ht="55.5" hidden="false" customHeight="true" outlineLevel="0" collapsed="false">
      <c r="A13" s="9" t="s">
        <v>481</v>
      </c>
      <c r="B13" s="5" t="s">
        <v>482</v>
      </c>
      <c r="C13" s="5" t="s">
        <v>483</v>
      </c>
      <c r="D13" s="10" t="s">
        <v>44</v>
      </c>
      <c r="E13" s="10" t="s">
        <v>467</v>
      </c>
    </row>
    <row r="14" customFormat="false" ht="55.5" hidden="false" customHeight="true" outlineLevel="0" collapsed="false">
      <c r="A14" s="11" t="s">
        <v>484</v>
      </c>
      <c r="B14" s="12" t="s">
        <v>485</v>
      </c>
      <c r="C14" s="12" t="s">
        <v>486</v>
      </c>
      <c r="D14" s="13" t="s">
        <v>44</v>
      </c>
      <c r="E14" s="13" t="s">
        <v>467</v>
      </c>
    </row>
    <row r="15" customFormat="false" ht="55.5" hidden="false" customHeight="true" outlineLevel="0" collapsed="false">
      <c r="A15" s="9" t="s">
        <v>487</v>
      </c>
      <c r="B15" s="5" t="s">
        <v>488</v>
      </c>
      <c r="C15" s="5" t="s">
        <v>489</v>
      </c>
      <c r="D15" s="10" t="s">
        <v>38</v>
      </c>
      <c r="E15" s="10" t="s">
        <v>467</v>
      </c>
    </row>
    <row r="16" customFormat="false" ht="51.75" hidden="false" customHeight="true" outlineLevel="0" collapsed="false">
      <c r="A16" s="24" t="s">
        <v>490</v>
      </c>
      <c r="B16" s="24" t="s">
        <v>478</v>
      </c>
      <c r="C16" s="20" t="s">
        <v>491</v>
      </c>
      <c r="D16" s="25" t="s">
        <v>44</v>
      </c>
      <c r="E16" s="25" t="s">
        <v>467</v>
      </c>
    </row>
    <row r="17" customFormat="false" ht="18" hidden="false" customHeight="true" outlineLevel="0" collapsed="false">
      <c r="A17" s="8" t="s">
        <v>492</v>
      </c>
      <c r="B17" s="8"/>
      <c r="C17" s="8"/>
      <c r="D17" s="8"/>
      <c r="E17" s="8"/>
    </row>
    <row r="18" customFormat="false" ht="55.5" hidden="false" customHeight="true" outlineLevel="0" collapsed="false">
      <c r="A18" s="11" t="s">
        <v>493</v>
      </c>
      <c r="B18" s="12" t="s">
        <v>494</v>
      </c>
      <c r="C18" s="12" t="s">
        <v>495</v>
      </c>
      <c r="D18" s="13" t="s">
        <v>44</v>
      </c>
      <c r="E18" s="13" t="s">
        <v>467</v>
      </c>
    </row>
    <row r="19" customFormat="false" ht="55.5" hidden="false" customHeight="true" outlineLevel="0" collapsed="false">
      <c r="A19" s="9" t="s">
        <v>496</v>
      </c>
      <c r="B19" s="5" t="s">
        <v>497</v>
      </c>
      <c r="C19" s="5" t="s">
        <v>498</v>
      </c>
      <c r="D19" s="10" t="s">
        <v>44</v>
      </c>
      <c r="E19" s="10" t="s">
        <v>467</v>
      </c>
    </row>
    <row r="20" customFormat="false" ht="55.5" hidden="false" customHeight="true" outlineLevel="0" collapsed="false">
      <c r="A20" s="11" t="s">
        <v>499</v>
      </c>
      <c r="B20" s="12" t="s">
        <v>500</v>
      </c>
      <c r="C20" s="12" t="s">
        <v>501</v>
      </c>
      <c r="D20" s="13" t="s">
        <v>222</v>
      </c>
      <c r="E20" s="13" t="s">
        <v>467</v>
      </c>
    </row>
    <row r="21" customFormat="false" ht="51.75" hidden="false" customHeight="true" outlineLevel="0" collapsed="false">
      <c r="A21" s="24" t="s">
        <v>502</v>
      </c>
      <c r="B21" s="24" t="s">
        <v>478</v>
      </c>
      <c r="C21" s="20" t="s">
        <v>503</v>
      </c>
      <c r="D21" s="25" t="s">
        <v>222</v>
      </c>
      <c r="E21" s="25" t="s">
        <v>467</v>
      </c>
    </row>
  </sheetData>
  <mergeCells count="7">
    <mergeCell ref="A1:E1"/>
    <mergeCell ref="A2:E2"/>
    <mergeCell ref="A3:E3"/>
    <mergeCell ref="A4:E4"/>
    <mergeCell ref="A6:E6"/>
    <mergeCell ref="A12:E12"/>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2"/>
    <col collapsed="false" customWidth="true" hidden="false" outlineLevel="0" max="4" min="3" style="0" width="40"/>
    <col collapsed="false" customWidth="true" hidden="false" outlineLevel="0" max="5" min="5" style="0" width="16"/>
  </cols>
  <sheetData>
    <row r="1" customFormat="false" ht="37.5" hidden="false" customHeight="true" outlineLevel="0" collapsed="false">
      <c r="A1" s="1" t="s">
        <v>504</v>
      </c>
      <c r="B1" s="1"/>
      <c r="C1" s="1"/>
      <c r="D1" s="1"/>
      <c r="E1" s="1"/>
    </row>
    <row r="2" customFormat="false" ht="21.75" hidden="false" customHeight="true" outlineLevel="0" collapsed="false">
      <c r="A2" s="2" t="s">
        <v>505</v>
      </c>
      <c r="B2" s="2"/>
      <c r="C2" s="2"/>
      <c r="D2" s="2"/>
      <c r="E2" s="2"/>
    </row>
    <row r="3" customFormat="false" ht="24" hidden="false" customHeight="true" outlineLevel="0" collapsed="false">
      <c r="A3" s="7" t="s">
        <v>212</v>
      </c>
      <c r="B3" s="7" t="s">
        <v>213</v>
      </c>
      <c r="C3" s="7" t="s">
        <v>214</v>
      </c>
      <c r="D3" s="7" t="s">
        <v>215</v>
      </c>
      <c r="E3" s="7" t="s">
        <v>217</v>
      </c>
    </row>
    <row r="4" customFormat="false" ht="45.75" hidden="false" customHeight="true" outlineLevel="0" collapsed="false">
      <c r="A4" s="9" t="s">
        <v>218</v>
      </c>
      <c r="B4" s="5" t="s">
        <v>219</v>
      </c>
      <c r="C4" s="5" t="s">
        <v>506</v>
      </c>
      <c r="D4" s="5" t="s">
        <v>221</v>
      </c>
      <c r="E4" s="10" t="s">
        <v>223</v>
      </c>
    </row>
    <row r="5" customFormat="false" ht="45.75" hidden="false" customHeight="true" outlineLevel="0" collapsed="false">
      <c r="A5" s="11" t="s">
        <v>507</v>
      </c>
      <c r="B5" s="12" t="s">
        <v>225</v>
      </c>
      <c r="C5" s="12" t="s">
        <v>226</v>
      </c>
      <c r="D5" s="12" t="s">
        <v>227</v>
      </c>
      <c r="E5" s="13" t="s">
        <v>507</v>
      </c>
    </row>
    <row r="6" customFormat="false" ht="45.75" hidden="false" customHeight="true" outlineLevel="0" collapsed="false">
      <c r="A6" s="9" t="s">
        <v>508</v>
      </c>
      <c r="B6" s="5" t="s">
        <v>229</v>
      </c>
      <c r="C6" s="5" t="s">
        <v>230</v>
      </c>
      <c r="D6" s="5" t="s">
        <v>231</v>
      </c>
      <c r="E6" s="10" t="s">
        <v>509</v>
      </c>
    </row>
    <row r="7" customFormat="false" ht="45.75" hidden="false" customHeight="true" outlineLevel="0" collapsed="false">
      <c r="A7" s="11" t="s">
        <v>234</v>
      </c>
      <c r="B7" s="12" t="s">
        <v>235</v>
      </c>
      <c r="C7" s="12" t="s">
        <v>236</v>
      </c>
      <c r="D7" s="12" t="s">
        <v>237</v>
      </c>
      <c r="E7" s="13" t="s">
        <v>239</v>
      </c>
    </row>
    <row r="8" customFormat="false" ht="19.5" hidden="false" customHeight="true" outlineLevel="0" collapsed="false">
      <c r="A8" s="3" t="s">
        <v>510</v>
      </c>
      <c r="B8" s="3"/>
      <c r="C8" s="3"/>
      <c r="D8" s="3"/>
      <c r="E8" s="3"/>
    </row>
    <row r="9" customFormat="false" ht="33.75" hidden="false" customHeight="true" outlineLevel="0" collapsed="false">
      <c r="A9" s="5" t="s">
        <v>511</v>
      </c>
      <c r="B9" s="5"/>
      <c r="C9" s="5"/>
      <c r="D9" s="5"/>
      <c r="E9" s="5"/>
    </row>
    <row r="10" customFormat="false" ht="33.75" hidden="false" customHeight="true" outlineLevel="0" collapsed="false">
      <c r="A10" s="5" t="s">
        <v>512</v>
      </c>
      <c r="B10" s="5"/>
      <c r="C10" s="5"/>
      <c r="D10" s="5"/>
      <c r="E10" s="5"/>
    </row>
    <row r="11" customFormat="false" ht="33.75" hidden="false" customHeight="true" outlineLevel="0" collapsed="false">
      <c r="A11" s="5" t="s">
        <v>513</v>
      </c>
      <c r="B11" s="5"/>
      <c r="C11" s="5"/>
      <c r="D11" s="5"/>
      <c r="E11" s="5"/>
    </row>
    <row r="12" customFormat="false" ht="19.5" hidden="false" customHeight="true" outlineLevel="0" collapsed="false">
      <c r="A12" s="3" t="s">
        <v>514</v>
      </c>
      <c r="B12" s="3"/>
      <c r="C12" s="3"/>
      <c r="D12" s="3"/>
      <c r="E12" s="3"/>
    </row>
    <row r="13" customFormat="false" ht="24" hidden="false" customHeight="true" outlineLevel="0" collapsed="false">
      <c r="A13" s="26" t="s">
        <v>515</v>
      </c>
      <c r="B13" s="26"/>
      <c r="C13" s="26"/>
      <c r="D13" s="26"/>
      <c r="E13" s="26"/>
    </row>
    <row r="14" customFormat="false" ht="24" hidden="false" customHeight="true" outlineLevel="0" collapsed="false">
      <c r="A14" s="26" t="s">
        <v>516</v>
      </c>
      <c r="B14" s="26"/>
      <c r="C14" s="26"/>
      <c r="D14" s="26"/>
      <c r="E14" s="26"/>
    </row>
    <row r="15" customFormat="false" ht="24" hidden="false" customHeight="true" outlineLevel="0" collapsed="false">
      <c r="A15" s="26" t="s">
        <v>517</v>
      </c>
      <c r="B15" s="26"/>
      <c r="C15" s="26"/>
      <c r="D15" s="26"/>
      <c r="E15" s="26"/>
    </row>
  </sheetData>
  <mergeCells count="10">
    <mergeCell ref="A1:E1"/>
    <mergeCell ref="A2:E2"/>
    <mergeCell ref="A8:E8"/>
    <mergeCell ref="A9:E9"/>
    <mergeCell ref="A10:E10"/>
    <mergeCell ref="A11:E11"/>
    <mergeCell ref="A12:E12"/>
    <mergeCell ref="A13:E13"/>
    <mergeCell ref="A14:E14"/>
    <mergeCell ref="A15:E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2026-06-04T06:15:12Z</dcterms:created>
  <dc:creator>openpyxl</dc:creator>
  <dc:description/>
  <dc:language>en-US</dc:language>
  <cp:lastModifiedBy/>
  <dcterms:modified xsi:type="dcterms:W3CDTF">2026-06-04T06:15:12Z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