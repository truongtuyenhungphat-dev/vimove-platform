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ông việc" sheetId="1" state="visible" r:id="rId3"/>
    <sheet name="Khung năng lực" sheetId="2" state="visible" r:id="rId4"/>
    <sheet name="Phiếu đánh giá cá nhân" sheetId="3" state="visible" r:id="rId5"/>
    <sheet name="Câu hỏi phỏng vấn" sheetId="4" state="visible" r:id="rId6"/>
    <sheet name="Score Card ứng viên" sheetId="5" state="visible" r:id="rId7"/>
    <sheet name="Kế hoạch 30-60-90 ngày" sheetId="6" state="visible" r:id="rId8"/>
    <sheet name="Lộ trình phát triể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<sst xmlns="http://schemas.openxmlformats.org/spreadsheetml/2006/main" count="708" uniqueCount="523">
  <si>
    <t xml:space="preserve">MÔ TẢ CÔNG VIỆC – NHÂN VIÊN MEDIA (MEDIA BUYER / AD OPERATIONS)</t>
  </si>
  <si>
    <t xml:space="preserve">CTCP Hùng Phát | Nhóm Media | Mã vị trí: NVMEDIA | Phiên bản v1.0</t>
  </si>
  <si>
    <t xml:space="preserve">▌ I. THÔNG TIN CHUNG</t>
  </si>
  <si>
    <t xml:space="preserve">Chức danh</t>
  </si>
  <si>
    <t xml:space="preserve">Nhân viên Media (Media Buyer / Ad Operations) (Media Staff (Media Buyer / Ad Operations))</t>
  </si>
  <si>
    <t xml:space="preserve">Mã vị trí</t>
  </si>
  <si>
    <t xml:space="preserve">NVMEDIA</t>
  </si>
  <si>
    <t xml:space="preserve">Phòng / Nhóm</t>
  </si>
  <si>
    <t xml:space="preserve">Phòng Marketing – Nhóm Media (Truyền thông &amp; Quảng cáo)</t>
  </si>
  <si>
    <t xml:space="preserve">Cấp báo cáo</t>
  </si>
  <si>
    <t xml:space="preserve">Trưởng nhóm Media / Trưởng phòng Marketing</t>
  </si>
  <si>
    <t xml:space="preserve">Cấp dưới trực tiếp</t>
  </si>
  <si>
    <t xml:space="preserve">Không có (vị trí cá nhân – Individual Contributor)</t>
  </si>
  <si>
    <t xml:space="preserve">Tính chất vị trí</t>
  </si>
  <si>
    <t xml:space="preserve">Hands-on: trực tiếp set up, vận hành &amp; tối ưu chiến dịch quảng cáo; đo lường &amp; báo cáo</t>
  </si>
  <si>
    <t xml:space="preserve">Nền tảng phụ trách</t>
  </si>
  <si>
    <t xml:space="preserve">Meta Ads · Google Ads · TikTok Ads... (theo phân công) &amp; công cụ tracking/đo lường</t>
  </si>
  <si>
    <t xml:space="preserve">Quan hệ với nhóm Content</t>
  </si>
  <si>
    <t xml:space="preserve">Content SẢN XUẤT nội dung – Media (NV) PHÂN PHỐI &amp; QUẢNG CÁO để tối đa hiệu quả</t>
  </si>
  <si>
    <t xml:space="preserve">Địa điểm / Ca</t>
  </si>
  <si>
    <t xml:space="preserve">Văn phòng HP; làm việc chính trên các nền tảng quảng cáo &amp; công cụ đo lường | Giờ hành chính; theo dõi &amp; tối ưu chiến dịch linh hoạt theo nhịp campaign &amp; sự kiện</t>
  </si>
  <si>
    <t xml:space="preserve">Ngày hiệu lực / JD</t>
  </si>
  <si>
    <t xml:space="preserve">___/___/______ | v1.0</t>
  </si>
  <si>
    <t xml:space="preserve">▌ II. MỤC ĐÍCH VỊ TRÍ</t>
  </si>
  <si>
    <t xml:space="preserve">Nhân viên Media trực tiếp set up, vận hành &amp; tối ưu các chiến dịch quảng cáo trả phí của HP trên các nền tảng (Meta/Google/TikTok Ads...) nhằm đạt mục tiêu hiệu quả (ROAS/CPA/CPL) trong ngân sách được giao. Vị trí phân phối nội dung do nhóm Content sản xuất tới đúng tệp, theo dõi &amp; tối ưu chỉ số hằng ngày, kiểm soát ngân sách/pacing, đảm bảo tracking &amp; dữ liệu sạch, và báo cáo trung thực. Đây là vị trí HANDS-ON &amp; DATA-DRIVEN: tự làm, tự tối ưu, ra quyết định bằng dữ liệu. Ưu tiên cốt lõi: HIỆU QUẢ CHIẾN DỊCH (ROAS/CPA đạt mục tiêu) – KỶ LUẬT NGÂN SÁCH – ĐO LƯỜNG CHÍNH XÁC – TUÂN THỦ CHÍNH SÁCH NỀN TẢNG &amp; AN TOÀN TÀI KHOẢN.</t>
  </si>
  <si>
    <t xml:space="preserve">▌ III. TRÁCH NHIỆM CHÍNH &amp; KPI</t>
  </si>
  <si>
    <t xml:space="preserve">#</t>
  </si>
  <si>
    <t xml:space="preserve">TRÁCH NHIỆM / NHIỆM VỤ</t>
  </si>
  <si>
    <t xml:space="preserve">KPI / TIÊU CHUẨN</t>
  </si>
  <si>
    <t xml:space="preserve">TẦN SUẤT</t>
  </si>
  <si>
    <t xml:space="preserve">MỨC TỐI THIỂU</t>
  </si>
  <si>
    <t xml:space="preserve">PHỐI HỢP</t>
  </si>
  <si>
    <t xml:space="preserve">NHÓM 1 – VẬN HÀNH CHIẾN DỊCH QUẢNG CÁO (Trực tiếp, hands-on)</t>
  </si>
  <si>
    <t xml:space="preserve">1.1</t>
  </si>
  <si>
    <t xml:space="preserve">Set up chiến dịch đúng chuẩn theo mục tiêu: cấu trúc campaign/adset/ad, targeting, đặt giá thầu, ngân sách</t>
  </si>
  <si>
    <t xml:space="preserve">Set up đúng cấu trúc &amp; mục tiêu; 0 lỗi cấu hình lớn</t>
  </si>
  <si>
    <t xml:space="preserve">Hàng tuần</t>
  </si>
  <si>
    <t xml:space="preserve">0 lỗi cấu hình lớn</t>
  </si>
  <si>
    <t xml:space="preserve">TN Media · Content</t>
  </si>
  <si>
    <t xml:space="preserve">1.2</t>
  </si>
  <si>
    <t xml:space="preserve">Vận hành &amp; giám sát chiến dịch hằng ngày trên nền tảng được giao; điều chỉnh kịp thời</t>
  </si>
  <si>
    <t xml:space="preserve">Chiến dịch chạy ổn định; xử lý điều chỉnh trong ngày</t>
  </si>
  <si>
    <t xml:space="preserve">Hàng ngày</t>
  </si>
  <si>
    <t xml:space="preserve">Theo dõi &amp; điều chỉnh hằng ngày</t>
  </si>
  <si>
    <t xml:space="preserve">TN Media</t>
  </si>
  <si>
    <t xml:space="preserve">1.3</t>
  </si>
  <si>
    <t xml:space="preserve">Chuẩn bị &amp; gắn nội dung/creative vào chiến dịch đúng định dạng từng nền tảng</t>
  </si>
  <si>
    <t xml:space="preserve">Creative gắn đúng định dạng/kích thước; 0 lỗi hiển thị</t>
  </si>
  <si>
    <t xml:space="preserve">0 lỗi hiển thị creative</t>
  </si>
  <si>
    <t xml:space="preserve">Content</t>
  </si>
  <si>
    <t xml:space="preserve">NHÓM 2 – TỐI ƯU HIỆU QUẢ &amp; KIỂM SOÁT NGÂN SÁCH</t>
  </si>
  <si>
    <t xml:space="preserve">2.1</t>
  </si>
  <si>
    <t xml:space="preserve">Theo dõi &amp; tối ưu chỉ số chiến dịch theo mục tiêu (ROAS/CPA/CPL/CPM/CTR) hằng ngày</t>
  </si>
  <si>
    <t xml:space="preserve">Chỉ số hiệu quả chiến dịch phụ trách đạt ≥ KH</t>
  </si>
  <si>
    <t xml:space="preserve">Hiệu quả ≥ KH</t>
  </si>
  <si>
    <t xml:space="preserve">TN Media · Performance</t>
  </si>
  <si>
    <t xml:space="preserve">2.2</t>
  </si>
  <si>
    <t xml:space="preserve">Kiểm soát ngân sách &amp; pacing: chi đúng kế hoạch, không vượt, chống lãng phí</t>
  </si>
  <si>
    <t xml:space="preserve">Chi trong ngân sách giao ±5%; pacing ổn; 0 lãng phí lớn</t>
  </si>
  <si>
    <t xml:space="preserve">Chi trong ngân sách</t>
  </si>
  <si>
    <t xml:space="preserve">TN Media · Kế toán</t>
  </si>
  <si>
    <t xml:space="preserve">2.3</t>
  </si>
  <si>
    <t xml:space="preserve">Phát hiện &amp; báo cáo bất thường (chi phí tăng, hiệu quả tụt, dấu hiệu gian lận) kịp thời</t>
  </si>
  <si>
    <t xml:space="preserve">Bất thường được phát hiện &amp; báo ≤ 24h</t>
  </si>
  <si>
    <t xml:space="preserve">Báo bất thường ≤ 24h</t>
  </si>
  <si>
    <t xml:space="preserve">NHÓM 3 – ĐO LƯỜNG, TRACKING &amp; BÁO CÁO</t>
  </si>
  <si>
    <t xml:space="preserve">3.1</t>
  </si>
  <si>
    <t xml:space="preserve">Kiểm tra tracking (pixel/Conversion API, UTM, sự kiện chuyển đổi) hoạt động đúng cho chiến dịch</t>
  </si>
  <si>
    <t xml:space="preserve">Tracking đúng &amp; đủ; 0 chiến dịch chạy thiếu tracking</t>
  </si>
  <si>
    <t xml:space="preserve">Theo chiến dịch</t>
  </si>
  <si>
    <t xml:space="preserve">Tracking đúng &amp; đủ</t>
  </si>
  <si>
    <t xml:space="preserve">IT · TN Media</t>
  </si>
  <si>
    <t xml:space="preserve">3.2</t>
  </si>
  <si>
    <t xml:space="preserve">Đọc &amp; đối chiếu số liệu (nền tảng vs thực tế bán hàng); báo cáo hiệu quả đúng hạn &amp; trung thực</t>
  </si>
  <si>
    <t xml:space="preserve">Báo cáo đúng hạn &amp; chính xác; số liệu đối chiếu, không 'làm đẹp'</t>
  </si>
  <si>
    <t xml:space="preserve">0 báo cáo trễ/sai</t>
  </si>
  <si>
    <t xml:space="preserve">NHÓM 4 – TESTING &amp; PHÂN PHỐI NỘI DUNG</t>
  </si>
  <si>
    <t xml:space="preserve">4.1</t>
  </si>
  <si>
    <t xml:space="preserve">Lập &amp; chạy testing (A/B creative/tệp/định dạng/giá thầu) có hệ thống; ghi nhận kết quả</t>
  </si>
  <si>
    <t xml:space="preserve">≥ 1 test/chu kỳ có kết luận; áp dụng vào tối ưu</t>
  </si>
  <si>
    <t xml:space="preserve">≥ 1 test/chu kỳ</t>
  </si>
  <si>
    <t xml:space="preserve">4.2</t>
  </si>
  <si>
    <t xml:space="preserve">Phân phối nội dung đúng tệp &amp; đủ tần suất; hỗ trợ scaling chiến dịch thắng (theo hướng dẫn)</t>
  </si>
  <si>
    <t xml:space="preserve">Phân phối đúng tệp; nhân chiến dịch thắng an toàn</t>
  </si>
  <si>
    <t xml:space="preserve">Phân phối đúng tệp</t>
  </si>
  <si>
    <t xml:space="preserve">NHÓM 5 – PHỐI HỢP, TUÂN THỦ &amp; AN TOÀN TÀI KHOẢN</t>
  </si>
  <si>
    <t xml:space="preserve">5.1</t>
  </si>
  <si>
    <t xml:space="preserve">Phối hợp Content lấy/đề xuất creative &amp; phản hồi dữ liệu (tệp/định dạng thắng) để cải thiện</t>
  </si>
  <si>
    <t xml:space="preserve">Phối hợp mượt; phản hồi dữ liệu hữu ích cho Content</t>
  </si>
  <si>
    <t xml:space="preserve">Phản hồi dữ liệu cho Content</t>
  </si>
  <si>
    <t xml:space="preserve">Content · TN Media</t>
  </si>
  <si>
    <t xml:space="preserve">5.2</t>
  </si>
  <si>
    <t xml:space="preserve">Tuân thủ chính sách nền tảng quảng cáo &amp; giữ an toàn tài khoản (tránh quảng cáo bị từ chối/khóa)</t>
  </si>
  <si>
    <t xml:space="preserve">0 quảng cáo bị từ chối/tài khoản bị hạn chế do lỗi cá nhân</t>
  </si>
  <si>
    <t xml:space="preserve">0 vi phạm do lỗi cá nhân</t>
  </si>
  <si>
    <t xml:space="preserve">TN Media · IT</t>
  </si>
  <si>
    <t xml:space="preserve">NHÓM 6 – HỌC HỎI, BÁO CÁO &amp; RỦI RO CƠ BẢN</t>
  </si>
  <si>
    <t xml:space="preserve">6.1</t>
  </si>
  <si>
    <t xml:space="preserve">Chủ động cập nhật chính sách nền tảng, công cụ &amp; định dạng quảng cáo mới; áp dụng vào công việc</t>
  </si>
  <si>
    <t xml:space="preserve">≥ 1 cập nhật/công cụ mới thử/tháng; chia sẻ với nhóm</t>
  </si>
  <si>
    <t xml:space="preserve">Hàng tháng</t>
  </si>
  <si>
    <t xml:space="preserve">Cập nhật ≥ 1/tháng</t>
  </si>
  <si>
    <t xml:space="preserve">6.2</t>
  </si>
  <si>
    <t xml:space="preserve">Báo cáo công việc &amp; chỉ số cho TN Media đúng hạn; nêu rủi ro/vướng mắc sớm</t>
  </si>
  <si>
    <t xml:space="preserve">100% báo cáo đúng hạn; rủi ro được nêu kịp</t>
  </si>
  <si>
    <t xml:space="preserve">0 báo cáo trễ</t>
  </si>
  <si>
    <t xml:space="preserve">▌ IV. CHỈ TIÊU KPI SỐNG CÒN – NV Media</t>
  </si>
  <si>
    <t xml:space="preserve">CHỈ TIÊU KPI</t>
  </si>
  <si>
    <t xml:space="preserve">TRỌNG SỐ</t>
  </si>
  <si>
    <t xml:space="preserve">TIÊU CHUẨN ĐẠT</t>
  </si>
  <si>
    <t xml:space="preserve">TIÊU CHUẨN XUẤT SẮC</t>
  </si>
  <si>
    <t xml:space="preserve">NGUỒN DỮ LIỆU</t>
  </si>
  <si>
    <t xml:space="preserve">1</t>
  </si>
  <si>
    <t xml:space="preserve">Hiệu quả chiến dịch (ROAS/CPA/CPL)</t>
  </si>
  <si>
    <t xml:space="preserve">28%</t>
  </si>
  <si>
    <t xml:space="preserve">Đạt mục tiêu hiệu quả chiến dịch phụ trách ≥ KH</t>
  </si>
  <si>
    <t xml:space="preserve">Vượt mục tiêu · tối ưu nổi bật</t>
  </si>
  <si>
    <t xml:space="preserve">Nền tảng Ads / tracking</t>
  </si>
  <si>
    <t xml:space="preserve">2</t>
  </si>
  <si>
    <t xml:space="preserve">Vận hành đúng &amp; 0 lỗi lớn</t>
  </si>
  <si>
    <t xml:space="preserve">18%</t>
  </si>
  <si>
    <t xml:space="preserve">Set up đúng cấu trúc · 0 lỗi cấu hình lớn</t>
  </si>
  <si>
    <t xml:space="preserve">Vận hành mượt · chủ động điều chỉnh</t>
  </si>
  <si>
    <t xml:space="preserve">Nền tảng / duyệt</t>
  </si>
  <si>
    <t xml:space="preserve">3</t>
  </si>
  <si>
    <t xml:space="preserve">Kỷ luật ngân sách &amp; pacing</t>
  </si>
  <si>
    <t xml:space="preserve">17%</t>
  </si>
  <si>
    <t xml:space="preserve">Chi trong ngân sách ±5% · 0 lãng phí lớn</t>
  </si>
  <si>
    <t xml:space="preserve">Tối ưu chi phí · phát hiện bất thường sớm</t>
  </si>
  <si>
    <t xml:space="preserve">P&amp;L media</t>
  </si>
  <si>
    <t xml:space="preserve">4</t>
  </si>
  <si>
    <t xml:space="preserve">Đo lường &amp; dữ liệu sạch</t>
  </si>
  <si>
    <t xml:space="preserve">15%</t>
  </si>
  <si>
    <t xml:space="preserve">Tracking đúng · báo cáo chính xác &amp; đúng hạn</t>
  </si>
  <si>
    <t xml:space="preserve">Đối chiếu đa nguồn · dữ liệu đáng tin</t>
  </si>
  <si>
    <t xml:space="preserve">Tracking / báo cáo</t>
  </si>
  <si>
    <t xml:space="preserve">5</t>
  </si>
  <si>
    <t xml:space="preserve">Testing &amp; phân phối</t>
  </si>
  <si>
    <t xml:space="preserve">12%</t>
  </si>
  <si>
    <t xml:space="preserve">≥ 1 test/chu kỳ · phân phối đúng tệp</t>
  </si>
  <si>
    <t xml:space="preserve">Test bài bản · nhân chiến dịch thắng</t>
  </si>
  <si>
    <t xml:space="preserve">Báo cáo chiến dịch</t>
  </si>
  <si>
    <t xml:space="preserve">6</t>
  </si>
  <si>
    <t xml:space="preserve">Tuân thủ &amp; thái độ học hỏi</t>
  </si>
  <si>
    <t xml:space="preserve">10%</t>
  </si>
  <si>
    <t xml:space="preserve">0 vi phạm chính sách do lỗi · chủ động học</t>
  </si>
  <si>
    <t xml:space="preserve">Gương kỷ luật &amp; cập nhật nhanh</t>
  </si>
  <si>
    <t xml:space="preserve">▌ V. YÊU CẦU CÔNG VIỆC</t>
  </si>
  <si>
    <t xml:space="preserve">NĂNG LỰC &amp; KỸ NĂNG CẦN CÓ</t>
  </si>
  <si>
    <t xml:space="preserve">KINH NGHIỆM &amp; HỌC VẤN</t>
  </si>
  <si>
    <t xml:space="preserve">✅  Vận hành quảng cáo (Meta/Google/TikTok Ads...): cấu trúc campaign, targeting, đặt giá thầu</t>
  </si>
  <si>
    <t xml:space="preserve">⏱  0–2 năm media/performance; hoặc fresh có tư duy số &amp; đã chạy thử ads</t>
  </si>
  <si>
    <t xml:space="preserve">✅  Tối ưu chỉ số (ROAS/CPA/CPL) &amp; kiểm soát ngân sách/pacing</t>
  </si>
  <si>
    <t xml:space="preserve">🎓  Cao đẳng/Đại học: Marketing/Kinh tế/Truyền thông hoặc tương đương</t>
  </si>
  <si>
    <t xml:space="preserve">✅  Đọc &amp; phân tích số liệu chiến dịch; ra quyết định tối ưu từ dữ liệu</t>
  </si>
  <si>
    <t xml:space="preserve">📊  Tư duy số liệu tốt; cẩn thận với con số &amp; ngân sách</t>
  </si>
  <si>
    <t xml:space="preserve">✅  Hiểu tracking cơ bản (pixel/UTM/sự kiện chuyển đổi) &amp; đối chiếu dữ liệu</t>
  </si>
  <si>
    <t xml:space="preserve">💻  Thành thạo trình quản lý quảng cáo, Excel/Sheets; biết GA4 là lợi thế</t>
  </si>
  <si>
    <t xml:space="preserve">✅  Phối hợp với Content lấy creative &amp; phản hồi dữ liệu</t>
  </si>
  <si>
    <t xml:space="preserve">🤝  Giao tiếp &amp; làm việc nhóm tốt</t>
  </si>
  <si>
    <t xml:space="preserve">✅  Nắm &amp; tuân thủ chính sách nền tảng; ý thức an toàn tài khoản</t>
  </si>
  <si>
    <t xml:space="preserve">🛡️  Cẩn thận, trung thực số liệu, kỷ luật ngân sách</t>
  </si>
  <si>
    <t xml:space="preserve">✅  Chủ động cập nhật công cụ &amp; xu hướng quảng cáo</t>
  </si>
  <si>
    <t xml:space="preserve">⚡  Data-driven, ham học, chịu áp lực KPI &amp; deadline chiến dịch</t>
  </si>
  <si>
    <t xml:space="preserve">▌ VI. NĂNG LỰC CẦN CÓ (Theo Khung Năng Lực Hùng Phát)</t>
  </si>
  <si>
    <t xml:space="preserve">Mức cấp tối thiểu khi nhận vị trí: Cấp 2-3 (đào tạo được nếu tư duy số &amp; thái độ tốt) | BẮT BUỘC: tự set up &amp; tối ưu chiến dịch (N1/N2) — không chỉ lý thuyết</t>
  </si>
  <si>
    <t xml:space="preserve">NHÓM NL</t>
  </si>
  <si>
    <t xml:space="preserve">TÊN NHÓM NĂNG LỰC</t>
  </si>
  <si>
    <t xml:space="preserve">CẤP TỐI THIỂU</t>
  </si>
  <si>
    <t xml:space="preserve">MÔ TẢ CẤP 3 – ĐẠT YÊU CẦU ✅</t>
  </si>
  <si>
    <t xml:space="preserve">CẤP MỤC TIÊU SAU 1 NĂM</t>
  </si>
  <si>
    <t xml:space="preserve">N1</t>
  </si>
  <si>
    <t xml:space="preserve">Vận hành Quảng cáo đa nền tảng (hands-on)</t>
  </si>
  <si>
    <t xml:space="preserve">Cấp 3</t>
  </si>
  <si>
    <t xml:space="preserve">Tự set up đúng cấu trúc/targeting/bid, vận hành &amp; giám sát chiến dịch hằng ngày, gắn creative đúng định dạng.</t>
  </si>
  <si>
    <t xml:space="preserve">Cấp 4</t>
  </si>
  <si>
    <t xml:space="preserve">N2</t>
  </si>
  <si>
    <t xml:space="preserve">Tối ưu Hiệu quả &amp; Kiểm soát Ngân sách</t>
  </si>
  <si>
    <t xml:space="preserve">22%</t>
  </si>
  <si>
    <t xml:space="preserve">Tối ưu ROAS/CPA/CPL hằng ngày, kiểm soát ngân sách &amp; pacing, phát hiện &amp; báo bất thường kịp.</t>
  </si>
  <si>
    <t xml:space="preserve">N3</t>
  </si>
  <si>
    <t xml:space="preserve">Đo lường, Tracking &amp; Báo cáo</t>
  </si>
  <si>
    <t xml:space="preserve">Kiểm tracking (pixel/UTM/sự kiện), đọc &amp; đối chiếu số liệu, báo cáo chính xác &amp; trung thực, đúng hạn.</t>
  </si>
  <si>
    <t xml:space="preserve">N4</t>
  </si>
  <si>
    <t xml:space="preserve">Testing &amp; Phân phối Nội dung</t>
  </si>
  <si>
    <t xml:space="preserve">13%</t>
  </si>
  <si>
    <t xml:space="preserve">Lập &amp; chạy A/B test có hệ thống, phân phối đúng tệp/tần suất, hỗ trợ scaling chiến dịch thắng.</t>
  </si>
  <si>
    <t xml:space="preserve">N5</t>
  </si>
  <si>
    <t xml:space="preserve">Phối hợp &amp; Tuân thủ (Content, Chính sách, Tài khoản)</t>
  </si>
  <si>
    <t xml:space="preserve">Phối hợp Content &amp; phản hồi dữ liệu; tuân thủ chính sách nền tảng &amp; giữ an toàn tài khoản.</t>
  </si>
  <si>
    <t xml:space="preserve">N6</t>
  </si>
  <si>
    <t xml:space="preserve">Tư duy &amp; Thái độ (Data-driven, Kỷ luật ngân sách, Học hỏi)</t>
  </si>
  <si>
    <t xml:space="preserve">Ra quyết định bằng dữ liệu; kỷ luật ngân sách; chủ động học công cụ mới; action ≤ 48h khi miss KPI.</t>
  </si>
  <si>
    <t xml:space="preserve">▌ VII. QUYỀN HẠN &amp; GIỚI HẠN THẨM QUYỀN</t>
  </si>
  <si>
    <t xml:space="preserve">Cột XANH ✅ = tự quyết, chịu trách nhiệm toàn bộ kết quả.   Cột CAM ⚠️ = PHẢI BÁO CÁO hoặc XIN PHÊ DUYỆT trước khi hành động — vi phạm = vi phạm kỷ luật.</t>
  </si>
  <si>
    <t xml:space="preserve">✅  ĐƯỢC PHÉP TỰ QUYẾT ĐỊNH</t>
  </si>
  <si>
    <t xml:space="preserve">⚠️  PHẢI BÁO CÁO / XIN PHÊ DUYỆT TRƯỚC</t>
  </si>
  <si>
    <t xml:space="preserve">THẨM QUYỀN PHÊ DUYỆT</t>
  </si>
  <si>
    <t xml:space="preserve">VẬN HÀNH &amp; TỐI ƯU CHIẾN DỊCH</t>
  </si>
  <si>
    <t xml:space="preserve">✅  Set up, điều chỉnh &amp; tối ưu chiến dịch trong ngân sách &amp; mục tiêu được giao</t>
  </si>
  <si>
    <t xml:space="preserve">⚠️  Thay đổi mục tiêu/cấu trúc chiến dịch lớn; chạy nền tảng/định dạng mới ngoài phân công</t>
  </si>
  <si>
    <t xml:space="preserve">✅  Tối ưu giá thầu, tệp, lịch chạy trong khung được giao</t>
  </si>
  <si>
    <t xml:space="preserve">⚠️  Tăng ngân sách chiến dịch vượt ngưỡng; điều chuyển ngân sách lớn giữa chiến dịch</t>
  </si>
  <si>
    <t xml:space="preserve">TN Media + Kế toán</t>
  </si>
  <si>
    <t xml:space="preserve">NGÂN SÁCH, NỘI DUNG &amp; TÀI KHOẢN</t>
  </si>
  <si>
    <t xml:space="preserve">✅  Đề xuất phân bổ/điều chỉnh ngân sách nhỏ trong khung; đề xuất creative/tệp test</t>
  </si>
  <si>
    <t xml:space="preserve">⚠️  Cam kết chi ngoài kế hoạch; dùng creative/tài sản có rủi ro bản quyền</t>
  </si>
  <si>
    <t xml:space="preserve">✅  Tạm dừng/bật chiến dịch khi phát hiện bất thường &amp; báo ngay TN Media</t>
  </si>
  <si>
    <t xml:space="preserve">⚠️  Thay đổi cài đặt tài khoản quảng cáo; cấp/thu quyền truy cập</t>
  </si>
  <si>
    <t xml:space="preserve">TN Media + IT</t>
  </si>
  <si>
    <t xml:space="preserve">BÁO CÁO &amp; DỮ LIỆU</t>
  </si>
  <si>
    <t xml:space="preserve">✅  Báo cáo số liệu trung thực &amp; nêu rủi ro/đề xuất tối ưu</t>
  </si>
  <si>
    <t xml:space="preserve">⚠️  Công bố số liệu ra ngoài nhóm; cam kết kết quả với bên thứ ba</t>
  </si>
  <si>
    <t xml:space="preserve">TN Media / TP MKT</t>
  </si>
  <si>
    <t xml:space="preserve">✅  Đề xuất công cụ/định dạng quảng cáo mới để thử nghiệm</t>
  </si>
  <si>
    <t xml:space="preserve">⚠️  Mua công cụ/tài sản trả phí; booking KOL/đối tác</t>
  </si>
  <si>
    <t xml:space="preserve">▌ VIII. LỘ TRÌNH PHÁT TRIỂN</t>
  </si>
  <si>
    <t xml:space="preserve">GIAI ĐOẠN</t>
  </si>
  <si>
    <t xml:space="preserve">VỊ TRÍ TIẾP THEO</t>
  </si>
  <si>
    <t xml:space="preserve">ĐIỀU KIỆN THĂNG TIẾN</t>
  </si>
  <si>
    <t xml:space="preserve">KPI CHỨNG MINH</t>
  </si>
  <si>
    <t xml:space="preserve">NGƯỜI PHÊ DUYỆT</t>
  </si>
  <si>
    <t xml:space="preserve">THỜI GIAN</t>
  </si>
  <si>
    <t xml:space="preserve">Hiện tại</t>
  </si>
  <si>
    <t xml:space="preserve">Nhân viên Media (Media Buyer / Ad Operations)</t>
  </si>
  <si>
    <t xml:space="preserve">Đang đảm nhận vị trí</t>
  </si>
  <si>
    <t xml:space="preserve">Hiệu quả chiến dịch (ROAS/CPA) ≥ KH; chi trong ngân sách; tracking đúng; 0 vi phạm chính sách</t>
  </si>
  <si>
    <t xml:space="preserve">TN Media/TP MKT</t>
  </si>
  <si>
    <t xml:space="preserve">Đang triển khai</t>
  </si>
  <si>
    <t xml:space="preserve">12–18 tháng</t>
  </si>
  <si>
    <t xml:space="preserve">NV Media Senior / Senior Media Buyer</t>
  </si>
  <si>
    <t xml:space="preserve">Hiệu quả &amp; kỷ luật ngân sách ≥ 110% KH; tự chủ tối ưu &amp; scaling; tracking vững</t>
  </si>
  <si>
    <t xml:space="preserve">ROAS +15% YoY; tự chủ scaling</t>
  </si>
  <si>
    <t xml:space="preserve">18–36 tháng</t>
  </si>
  <si>
    <t xml:space="preserve">Trưởng nhóm Media / Media Lead</t>
  </si>
  <si>
    <t xml:space="preserve">Tố chất dẫn dắt; chuẩn hóa quy trình vận hành; kèm được NV mới</t>
  </si>
  <si>
    <t xml:space="preserve">Quản 1 nhóm; KPI nhóm đạt</t>
  </si>
  <si>
    <t xml:space="preserve">TP MKT</t>
  </si>
  <si>
    <t xml:space="preserve">2–3 năm</t>
  </si>
  <si>
    <t xml:space="preserve">36 tháng+</t>
  </si>
  <si>
    <t xml:space="preserve">Phụ trách Media / Performance Marketing Manager</t>
  </si>
  <si>
    <t xml:space="preserve">Năng lực quản trị mảng media-performance đa kênh</t>
  </si>
  <si>
    <t xml:space="preserve">Kết quả mảng bền vững</t>
  </si>
  <si>
    <t xml:space="preserve">GĐ MKT</t>
  </si>
  <si>
    <t xml:space="preserve">3+ năm</t>
  </si>
  <si>
    <t xml:space="preserve">▌ IX. XÁC NHẬN &amp; HIỆU LỰC</t>
  </si>
  <si>
    <t xml:space="preserve">Tài liệu nội bộ – CTCP Hùng Phát  |  Không phổ biến ra ngoài  |  Lưu trữ tại HR &amp; NV Media</t>
  </si>
  <si>
    <t xml:space="preserve">NGƯỜI ĐƯỢC BỔ NHIỆM (Đọc, hiểu &amp; cam kết)</t>
  </si>
  <si>
    <t xml:space="preserve">GĐHR XÁC NHẬN (Đúng khung NL &amp; quy trình)</t>
  </si>
  <si>
    <t xml:space="preserve">TN Media / TP Marketing PHÊ DUYỆT (Ký &amp; đóng dấu)</t>
  </si>
  <si>
    <t xml:space="preserve">Họ tên: ____________________
Chức danh: Nhân viên Media (Media Buyer / Ad Operations)
Ngày ký: ___/___/______</t>
  </si>
  <si>
    <t xml:space="preserve">Họ tên: ____________________
Chức danh: Giám đốc HR
Ngày ký: ___/___/______</t>
  </si>
  <si>
    <t xml:space="preserve">Họ tên: ____________________
Chức danh: TN Media / TP Marketing
Ngày ký: ___/___/______</t>
  </si>
  <si>
    <t xml:space="preserve">Ngày hiệu lực của JD này: ___/___/______    |    Kỳ review tiếp theo: ___/___/______    |    Người lưu trữ: GĐHR</t>
  </si>
  <si>
    <t xml:space="preserve">KHUNG NĂNG LỰC – NHÂN VIÊN MEDIA (MEDIA BUYER / AD OPERATIONS)</t>
  </si>
  <si>
    <t xml:space="preserve">CTCP Hùng Phát | 6 Nhóm NL | Trọng số theo vị trí | Thang 4 cấp</t>
  </si>
  <si>
    <t xml:space="preserve">▌ THANG 4 CẤP &amp; TRỌNG SỐ</t>
  </si>
  <si>
    <t xml:space="preserve">NHÓM NĂNG LỰC</t>
  </si>
  <si>
    <t xml:space="preserve">MỤC TIÊU 6 THÁNG</t>
  </si>
  <si>
    <t xml:space="preserve">MỤC TIÊU 1 NĂM</t>
  </si>
  <si>
    <t xml:space="preserve">Cấp 3-4</t>
  </si>
  <si>
    <t xml:space="preserve">TỔNG</t>
  </si>
  <si>
    <t xml:space="preserve">100%</t>
  </si>
  <si>
    <t xml:space="preserve">Điểm ≥ 3.0 để đạt</t>
  </si>
  <si>
    <t xml:space="preserve">Điểm ≥ 3.3 sau 6T</t>
  </si>
  <si>
    <t xml:space="preserve">Điểm ≥ 3.5 sau 1 năm</t>
  </si>
  <si>
    <t xml:space="preserve">▌ MÔ TẢ HÀNH VI 4 CẤP THEO NHÓM NĂNG LỰC</t>
  </si>
  <si>
    <t xml:space="preserve">TIÊU CHÍ</t>
  </si>
  <si>
    <t xml:space="preserve">CẤP 1 – Cần phát triển ❌</t>
  </si>
  <si>
    <t xml:space="preserve">CẤP 2 – Đang phát triển ⚠️</t>
  </si>
  <si>
    <t xml:space="preserve">CẤP 3 – Đạt yêu cầu ✅</t>
  </si>
  <si>
    <t xml:space="preserve">CẤP 4 – Xuất sắc ⭐</t>
  </si>
  <si>
    <t xml:space="preserve">NHÓM N1 – VẬN HÀNH QUẢNG CÁO ĐA NỀN TẢNG (HANDS-ON) (28%)</t>
  </si>
  <si>
    <t xml:space="preserve">Set up chiến dịch</t>
  </si>
  <si>
    <t xml:space="preserve">Không tự set up được; lỗi cấu hình; phụ thuộc người khác.</t>
  </si>
  <si>
    <t xml:space="preserve">Set up được nhưng còn sai sót; chưa tối ưu cấu trúc.</t>
  </si>
  <si>
    <t xml:space="preserve">Tự set up đúng cấu trúc/targeting/bid theo mục tiêu; 0 lỗi lớn.</t>
  </si>
  <si>
    <t xml:space="preserve">Set up nhanh &amp; chuẩn đa nền tảng; cấu trúc tối ưu cho tối ưu/scale.</t>
  </si>
  <si>
    <t xml:space="preserve">Vận hành &amp; giám sát hằng ngày</t>
  </si>
  <si>
    <t xml:space="preserve">Bỏ bê chiến dịch; không theo dõi; phát hiện sự cố muộn.</t>
  </si>
  <si>
    <t xml:space="preserve">Theo dõi nhưng chưa đều; điều chỉnh chậm.</t>
  </si>
  <si>
    <t xml:space="preserve">Giám sát &amp; điều chỉnh chiến dịch hằng ngày kịp thời.</t>
  </si>
  <si>
    <t xml:space="preserve">Chủ động phát hiện sớm &amp; xử lý; chiến dịch luôn ở trạng thái tối ưu.</t>
  </si>
  <si>
    <t xml:space="preserve">Gắn creative đúng định dạng</t>
  </si>
  <si>
    <t xml:space="preserve">Gắn sai định dạng/kích thước; lỗi hiển thị.</t>
  </si>
  <si>
    <t xml:space="preserve">Cơ bản đúng nhưng đôi khi sai sót.</t>
  </si>
  <si>
    <t xml:space="preserve">Gắn creative đúng định dạng từng nền tảng; 0 lỗi hiển thị.</t>
  </si>
  <si>
    <t xml:space="preserve">Tối ưu creative theo nền tảng; phối hợp Content nâng chất lượng hiển thị.</t>
  </si>
  <si>
    <t xml:space="preserve">NHÓM N2 – TỐI ƯU HIỆU QUẢ &amp; KIỂM SOÁT NGÂN SÁCH (22%)</t>
  </si>
  <si>
    <t xml:space="preserve">Tối ưu hiệu quả (ROAS/CPA)</t>
  </si>
  <si>
    <t xml:space="preserve">Không tối ưu; để chỉ số xấu kéo dài.</t>
  </si>
  <si>
    <t xml:space="preserve">Tối ưu thụ động/chậm; thiếu phương pháp.</t>
  </si>
  <si>
    <t xml:space="preserve">Theo dõi &amp; tối ưu ROAS/CPA/CPL hằng ngày; đạt mục tiêu ≥ KH.</t>
  </si>
  <si>
    <t xml:space="preserve">Tối ưu sâu theo tệp/creative/thời điểm; vượt mục tiêu ổn định.</t>
  </si>
  <si>
    <t xml:space="preserve">Kiểm soát ngân sách &amp; pacing</t>
  </si>
  <si>
    <t xml:space="preserve">Chi vượt/cạn ngân sách; pacing loạn.</t>
  </si>
  <si>
    <t xml:space="preserve">Kiểm soát cơ bản; đôi khi lệch.</t>
  </si>
  <si>
    <t xml:space="preserve">Chi trong ngân sách ±5%; pacing ổn; 0 lãng phí lớn.</t>
  </si>
  <si>
    <t xml:space="preserve">Tối ưu hiệu quả/đồng chi; chủ động phân bổ theo hiệu suất.</t>
  </si>
  <si>
    <t xml:space="preserve">Phát hiện &amp; báo bất thường</t>
  </si>
  <si>
    <t xml:space="preserve">Không nhận ra bất thường; để thất thoát.</t>
  </si>
  <si>
    <t xml:space="preserve">Phát hiện chậm; báo muộn.</t>
  </si>
  <si>
    <t xml:space="preserve">Phát hiện &amp; báo bất thường (chi phí/hiệu quả/gian lận) ≤ 24h.</t>
  </si>
  <si>
    <t xml:space="preserve">Cảnh báo sớm &amp; đề xuất xử lý; bảo vệ ngân sách hiệu quả.</t>
  </si>
  <si>
    <t xml:space="preserve">NHÓM N3 – ĐO LƯỜNG, TRACKING &amp; BÁO CÁO (15%)</t>
  </si>
  <si>
    <t xml:space="preserve">Tracking &amp; dữ liệu</t>
  </si>
  <si>
    <t xml:space="preserve">Không kiểm tracking; chạy chiến dịch thiếu/sai tracking.</t>
  </si>
  <si>
    <t xml:space="preserve">Kiểm cơ bản nhưng đôi khi sót.</t>
  </si>
  <si>
    <t xml:space="preserve">Kiểm tracking (pixel/UTM/sự kiện) đúng &amp; đủ trước khi chạy.</t>
  </si>
  <si>
    <t xml:space="preserve">Hiểu sâu tracking &amp; attribution; phát hiện lỗi đo lường sớm.</t>
  </si>
  <si>
    <t xml:space="preserve">Đọc số liệu &amp; báo cáo</t>
  </si>
  <si>
    <t xml:space="preserve">Không đọc số/báo cáo trễ; số liệu thiếu tin cậy.</t>
  </si>
  <si>
    <t xml:space="preserve">Báo cáo đủ nhưng phân tích nông; ít đối chiếu.</t>
  </si>
  <si>
    <t xml:space="preserve">Đọc &amp; đối chiếu số liệu (nền tảng vs thực tế); báo cáo đúng hạn &amp; trung thực.</t>
  </si>
  <si>
    <t xml:space="preserve">Báo cáo có insight &amp; đề xuất; số liệu đáng tin phục vụ quyết định.</t>
  </si>
  <si>
    <t xml:space="preserve">NHÓM N4 – TESTING &amp; PHÂN PHỐI NỘI DUNG (13%)</t>
  </si>
  <si>
    <t xml:space="preserve">Testing có hệ thống</t>
  </si>
  <si>
    <t xml:space="preserve">Không test; lặp lại cái kém hiệu quả.</t>
  </si>
  <si>
    <t xml:space="preserve">Thỉnh thoảng test nhưng không hệ thống.</t>
  </si>
  <si>
    <t xml:space="preserve">Lập &amp; chạy A/B test có hệ thống; ≥ 1 test/chu kỳ có kết luận.</t>
  </si>
  <si>
    <t xml:space="preserve">Quy trình test bài bản; rút insight nhanh để tối ưu/scale.</t>
  </si>
  <si>
    <t xml:space="preserve">Phân phối &amp; scaling</t>
  </si>
  <si>
    <t xml:space="preserve">Phân phối lệch tệp; không hỗ trợ scale.</t>
  </si>
  <si>
    <t xml:space="preserve">Phân phối ổn nhưng chưa tối ưu tần suất.</t>
  </si>
  <si>
    <t xml:space="preserve">Phân phối đúng tệp &amp; đủ tần suất; hỗ trợ scaling chiến dịch thắng an toàn.</t>
  </si>
  <si>
    <t xml:space="preserve">Tối ưu phân phối theo dữ liệu; scaling giữ hiệu quả.</t>
  </si>
  <si>
    <t xml:space="preserve">NHÓM N5 – PHỐI HỢP &amp; TUÂN THỦ (CONTENT, CHÍNH SÁCH, TÀI KHOẢN) (12%)</t>
  </si>
  <si>
    <t xml:space="preserve">Phối hợp Content &amp; phản hồi dữ liệu</t>
  </si>
  <si>
    <t xml:space="preserve">Làm tách rời; không phản hồi creative; đổ lỗi.</t>
  </si>
  <si>
    <t xml:space="preserve">Phối hợp khi cần; phản hồi chưa rõ ràng.</t>
  </si>
  <si>
    <t xml:space="preserve">Phối hợp Content lấy creative &amp; phản hồi dữ liệu (tệp/định dạng thắng).</t>
  </si>
  <si>
    <t xml:space="preserve">Chủ động dùng dữ liệu định hướng creative; tạo cộng hưởng Content-Media.</t>
  </si>
  <si>
    <t xml:space="preserve">Tuân thủ chính sách &amp; an toàn tài khoản</t>
  </si>
  <si>
    <t xml:space="preserve">Coi nhẹ chính sách; gây quảng cáo bị từ chối/khóa.</t>
  </si>
  <si>
    <t xml:space="preserve">Cơ bản tuân thủ nhưng đôi lúc lơ là.</t>
  </si>
  <si>
    <t xml:space="preserve">Tuân thủ chính sách nền tảng; giữ an toàn tài khoản; 0 vi phạm do lỗi.</t>
  </si>
  <si>
    <t xml:space="preserve">Nắm vững chính sách &amp; phòng rủi ro chủ động; hỗ trợ nhóm tránh lỗi.</t>
  </si>
  <si>
    <t xml:space="preserve">NHÓM N6 – TƯ DUY &amp; THÁI ĐỘ (DATA-DRIVEN, KỶ LUẬT NGÂN SÁCH, HỌC HỎI) (10%)</t>
  </si>
  <si>
    <t xml:space="preserve">Data-driven &amp; kỷ luật ngân sách</t>
  </si>
  <si>
    <t xml:space="preserve">Quyết định cảm tính; tiêu ngân sách tùy hứng.</t>
  </si>
  <si>
    <t xml:space="preserve">Dùng dữ liệu cơ bản; kỷ luật ngân sách chưa cao.</t>
  </si>
  <si>
    <t xml:space="preserve">Ra quyết định bằng dữ liệu; kỷ luật ngân sách; miss KPI có action ≤ 48h.</t>
  </si>
  <si>
    <t xml:space="preserve">Chuẩn mực data-driven &amp; kỷ luật; tối ưu từng đồng ngân sách.</t>
  </si>
  <si>
    <t xml:space="preserve">Học hỏi &amp; cập nhật</t>
  </si>
  <si>
    <t xml:space="preserve">Bảo thủ; ngại công cụ/chính sách mới.</t>
  </si>
  <si>
    <t xml:space="preserve">Có học nhưng chưa chủ động cập nhật.</t>
  </si>
  <si>
    <t xml:space="preserve">Chủ động cập nhật công cụ/chính sách/định dạng mới &amp; áp dụng.</t>
  </si>
  <si>
    <t xml:space="preserve">Đón đầu xu hướng quảng cáo; chia sẻ &amp; nâng năng lực cho nhóm.</t>
  </si>
  <si>
    <t xml:space="preserve">PHIẾU ĐÁNH GIÁ NĂNG LỰC – NHÂN VIÊN MEDIA (MEDIA BUYER / AD OPERATIONS)</t>
  </si>
  <si>
    <t xml:space="preserve">CTCP Hùng Phát | Đánh giá định kỳ: Đầu vào / Quý / Cuối năm</t>
  </si>
  <si>
    <t xml:space="preserve">▌ THÔNG TIN</t>
  </si>
  <si>
    <t xml:space="preserve">Họ và tên:___________________________   Mã NV: ___________</t>
  </si>
  <si>
    <t xml:space="preserve">Chức danh: Nhân viên Media (Media Buyer / Ad Operations)   Bộ phận: Nhóm Media</t>
  </si>
  <si>
    <t xml:space="preserve">Ngày đánh giá: ___/___/______   Người đánh giá: _____________   Vị trí: TN Media/TP MKT</t>
  </si>
  <si>
    <t xml:space="preserve">Kỳ đánh giá: □ Đầu vào   □ Quý 1   □ Quý 2   □ Quý 3   □ Cuối năm</t>
  </si>
  <si>
    <t xml:space="preserve">▌ HƯỚNG DẪN: Ghi số cấp (1-4) vào cột 'Cấp hiện tại' + bằng chứng cụ thể quan sát được. Điểm ≥ 3.0 = Đạt yêu cầu vị trí NV Media.</t>
  </si>
  <si>
    <t xml:space="preserve">TIÊU CHÍ ĐÁNH GIÁ</t>
  </si>
  <si>
    <t xml:space="preserve">BẰNG CHỨNG / VÍ DỤ QUAN SÁT ĐƯỢC</t>
  </si>
  <si>
    <t xml:space="preserve">CẤP (1-4)</t>
  </si>
  <si>
    <t xml:space="preserve">HÀNH ĐỘNG PHÁT TRIỂN</t>
  </si>
  <si>
    <t xml:space="preserve">NHÓM N1 – VẬN HÀNH QUẢNG CÁO ĐA NỀN TẢNG (Trọng số 28%)</t>
  </si>
  <si>
    <t xml:space="preserve">1.1  Set up chiến dịch</t>
  </si>
  <si>
    <t xml:space="preserve">1.2  Vận hành &amp; giám sát hằng ngày</t>
  </si>
  <si>
    <t xml:space="preserve">1.3  Gắn creative đúng định dạng</t>
  </si>
  <si>
    <t xml:space="preserve">→</t>
  </si>
  <si>
    <t xml:space="preserve">ĐIỂM TRUNG BÌNH NHÓM N1</t>
  </si>
  <si>
    <t xml:space="preserve">_____ / 4.0</t>
  </si>
  <si>
    <t xml:space="preserve">NHÓM N2 – TỐI ƯU HIỆU QUẢ &amp; KIỂM SOÁT NGÂN SÁCH (Trọng số 22%)</t>
  </si>
  <si>
    <t xml:space="preserve">2.1  Tối ưu hiệu quả (ROAS/CPA)</t>
  </si>
  <si>
    <t xml:space="preserve">2.2  Kiểm soát ngân sách &amp; pacing</t>
  </si>
  <si>
    <t xml:space="preserve">2.3  Phát hiện &amp; báo bất thường</t>
  </si>
  <si>
    <t xml:space="preserve">ĐIỂM TRUNG BÌNH NHÓM N2</t>
  </si>
  <si>
    <t xml:space="preserve">NHÓM N3 – ĐO LƯỜNG, TRACKING &amp; BÁO CÁO (Trọng số 15%)</t>
  </si>
  <si>
    <t xml:space="preserve">3.1  Tracking &amp; dữ liệu</t>
  </si>
  <si>
    <t xml:space="preserve">3.2  Đọc số liệu &amp; báo cáo</t>
  </si>
  <si>
    <t xml:space="preserve">ĐIỂM TRUNG BÌNH NHÓM N3</t>
  </si>
  <si>
    <t xml:space="preserve">NHÓM N4 – TESTING &amp; PHÂN PHỐI NỘI DUNG (Trọng số 13%)</t>
  </si>
  <si>
    <t xml:space="preserve">4.1  Testing có hệ thống</t>
  </si>
  <si>
    <t xml:space="preserve">4.2  Phân phối &amp; scaling</t>
  </si>
  <si>
    <t xml:space="preserve">ĐIỂM TRUNG BÌNH NHÓM N4</t>
  </si>
  <si>
    <t xml:space="preserve">NHÓM N5 – PHỐI HỢP &amp; TUÂN THỦ (Trọng số 12%)</t>
  </si>
  <si>
    <t xml:space="preserve">5.1  Phối hợp Content &amp; phản hồi dữ liệu</t>
  </si>
  <si>
    <t xml:space="preserve">5.2  Tuân thủ chính sách &amp; an toàn tài khoản</t>
  </si>
  <si>
    <t xml:space="preserve">ĐIỂM TRUNG BÌNH NHÓM N5</t>
  </si>
  <si>
    <t xml:space="preserve">NHÓM N6 – TƯ DUY &amp; THÁI ĐỘ (DATA-DRIVEN, KỶ LUẬT, HỌC HỎI) (Trọng số 10%)</t>
  </si>
  <si>
    <t xml:space="preserve">6.1  Data-driven &amp; kỷ luật ngân sách</t>
  </si>
  <si>
    <t xml:space="preserve">6.2  Học hỏi &amp; cập nhật</t>
  </si>
  <si>
    <t xml:space="preserve">ĐIỂM TRUNG BÌNH NHÓM N6</t>
  </si>
  <si>
    <t xml:space="preserve">▌ TỔNG KẾT ĐÁNH GIÁ</t>
  </si>
  <si>
    <t xml:space="preserve">ĐIỂM TỔNG HỢP CÓ TRỌNG SỐ: N1×28% + N2×22% + N3×15% + N4×13% + N5×12% + N6×10% = _____ / 4.0</t>
  </si>
  <si>
    <t xml:space="preserve">XẾP LOẠI:  □ Cần phát triển (&lt; 1.5)   □ Đang phát triển (1.5–2.49)   □ Đạt yêu cầu (2.5–3.49)   □ Xuất sắc (≥ 3.5)</t>
  </si>
  <si>
    <t xml:space="preserve">ĐIỂM MẠNH CẦN PHÁT HUY: ___________________________________________</t>
  </si>
  <si>
    <t xml:space="preserve">ĐIỂM CẦN CẢI THIỆN NGAY (ưu tiên top 1-2): _____________________________</t>
  </si>
  <si>
    <t xml:space="preserve">KẾ HOẠCH PHÁT TRIỂN 6 THÁNG TỚI: _____________________________________</t>
  </si>
  <si>
    <t xml:space="preserve">Người được đánh giá ký:_______________   Người đánh giá ký:_______________   Ngày: ___/___/______</t>
  </si>
  <si>
    <t xml:space="preserve">BỘ CÂU HỎI PHỎNG VẤN STAR – NHÂN VIÊN MEDIA (MEDIA BUYER / AD OPERATIONS)</t>
  </si>
  <si>
    <t xml:space="preserve">CTCP Hùng Phát | Panel 1–2 người | TN Media/TP MKT + (tùy chọn) Performance</t>
  </si>
  <si>
    <t xml:space="preserve">Hội đồng PV: TN Media/TP MKT + (tùy chọn) Performance. Thời gian: 45–60 phút. YÊU CẦU XEM SỐ LIỆU THỰC (chiến dịch đã chạy, ngân sách, ROAS/CPA, nền tảng). Đánh giá tay nghề HANDS-ON (tự set up &amp; tối ưu) &amp; tư duy số liệu. Điểm ≥ 3.0 để đạt.</t>
  </si>
  <si>
    <t xml:space="preserve">CÂU HỎI PHỎNG VẤN (STAR)</t>
  </si>
  <si>
    <t xml:space="preserve">HƯỚNG DẪN ĐÁNH GIÁ &amp; CỜ ĐỎ</t>
  </si>
  <si>
    <t xml:space="preserve">ĐIỂM (1-4)</t>
  </si>
  <si>
    <t xml:space="preserve">GHI CHÚ QUAN SÁT</t>
  </si>
  <si>
    <t xml:space="preserve">N1/N2 – VẬN HÀNH &amp; TỐI ƯU (QUAN TRỌNG)</t>
  </si>
  <si>
    <t xml:space="preserve">Kể về một chiến dịch bạn TỰ set up &amp; tối ưu: nền tảng, mục tiêu, ngân sách, kết quả (ROAS/CPA). Bạn tối ưu thế nào?</t>
  </si>
  <si>
    <t xml:space="preserve">Tìm: Hands-on thực thụ, hiểu cấu trúc &amp; tối ưu, có số liệu.
🚩 Cờ đỏ: Chỉ lý thuyết | Không có số | Chưa tự chạy</t>
  </si>
  <si>
    <t xml:space="preserve">Một chiến dịch đang tốt bỗng CPA tăng mạnh. Bạn kiểm tra &amp; xử lý theo bước nào?</t>
  </si>
  <si>
    <t xml:space="preserve">Tìm: Quy trình chẩn đoán (creative fatigue/tệp/bid/tracking), xử lý có logic.
🚩 Cờ đỏ: Lúng túng | Đoán mò | Đổ lỗi nền tảng</t>
  </si>
  <si>
    <t xml:space="preserve">N3 – ĐO LƯỜNG</t>
  </si>
  <si>
    <t xml:space="preserve">Bạn kiểm tra tracking (pixel/UTM/sự kiện) cho một chiến dịch thế nào trước khi chạy?</t>
  </si>
  <si>
    <t xml:space="preserve">Tìm: Hiểu tracking cơ bản, có thói quen kiểm trước khi chạy.
🚩 Cờ đỏ: Không kiểm | Không hiểu tracking</t>
  </si>
  <si>
    <t xml:space="preserve">Số liệu trên nền tảng &amp; số bán hàng thực tế lệch nhau. Bạn xử lý &amp; báo cáo thế nào?</t>
  </si>
  <si>
    <t xml:space="preserve">Tìm: Đối chiếu, trung thực, không 'làm đẹp' số.
🚩 Cờ đỏ: Chọn số đẹp | Không đối chiếu</t>
  </si>
  <si>
    <t xml:space="preserve">N2/N6 – NGÂN SÁCH &amp; THÁI ĐỘ</t>
  </si>
  <si>
    <t xml:space="preserve">Bạn kiểm soát ngân sách &amp; pacing của chiến dịch hằng ngày thế nào để không vượt/cạn?</t>
  </si>
  <si>
    <t xml:space="preserve">Tìm: Kỷ luật ngân sách, theo dõi pacing, chủ động.
🚩 Cờ đỏ: Không theo dõi | Để cháy ngân sách</t>
  </si>
  <si>
    <t xml:space="preserve">Nền tảng quảng cáo liên tục đổi (định dạng, chính sách). Bạn cập nhật &amp; học thế nào?</t>
  </si>
  <si>
    <t xml:space="preserve">Tìm: Chủ động học, cập nhật xu hướng, ham học.
🚩 Cờ đỏ: Bảo thủ | Ngại cái mới</t>
  </si>
  <si>
    <t xml:space="preserve">N4/N5 – TESTING &amp; PHỐI HỢP</t>
  </si>
  <si>
    <t xml:space="preserve">7</t>
  </si>
  <si>
    <t xml:space="preserve">Bạn lập &amp; chạy một A/B test (creative/tệp) thế nào? Đọc kết quả &amp; quyết định ra sao?</t>
  </si>
  <si>
    <t xml:space="preserve">Tìm: Test có hệ thống, đọc kết quả, ra quyết định.
🚩 Cờ đỏ: Không test | Test không có kết luận</t>
  </si>
  <si>
    <t xml:space="preserve">8</t>
  </si>
  <si>
    <t xml:space="preserve">Creative từ Content chạy không hiệu quả. Bạn phản hồi &amp; phối hợp Content thế nào?</t>
  </si>
  <si>
    <t xml:space="preserve">Tìm: Dùng dữ liệu phản hồi, phối hợp, không đổ lỗi.
🚩 Cờ đỏ: Đổ lỗi Content | Không phản hồi dữ liệu</t>
  </si>
  <si>
    <t xml:space="preserve">SCORE CARD TUYỂN DỤNG – NHÂN VIÊN MEDIA (MEDIA BUYER / AD OPERATIONS)</t>
  </si>
  <si>
    <t xml:space="preserve">CTCP Hùng Phát | Panel ≥ 3 người</t>
  </si>
  <si>
    <t xml:space="preserve">▌ THÔNG TIN ỨNG VIÊN</t>
  </si>
  <si>
    <t xml:space="preserve">Họ tên:</t>
  </si>
  <si>
    <t xml:space="preserve">Ngày PV:</t>
  </si>
  <si>
    <t xml:space="preserve">Người PV:</t>
  </si>
  <si>
    <t xml:space="preserve">Vị trí: Nhân viên Media (Media Buyer / Ad Operations) – HungPhat</t>
  </si>
  <si>
    <t xml:space="preserve">▌ BẢNG ĐIỂM NĂNG LỰC</t>
  </si>
  <si>
    <t xml:space="preserve">ĐIỂM TRỌNG SỐ</t>
  </si>
  <si>
    <t xml:space="preserve">MỨC ĐẠT TỐI THIỂU</t>
  </si>
  <si>
    <t xml:space="preserve">NHẬN XÉT PANEL</t>
  </si>
  <si>
    <t xml:space="preserve">N1 – Vận hành Quảng cáo đa nền tảng (hands-on)</t>
  </si>
  <si>
    <t xml:space="preserve">Cấp 3 (3.0)</t>
  </si>
  <si>
    <t xml:space="preserve">N2 – Tối ưu Hiệu quả &amp; Kiểm soát Ngân sách</t>
  </si>
  <si>
    <t xml:space="preserve">N3 – Đo lường, Tracking &amp; Báo cáo</t>
  </si>
  <si>
    <t xml:space="preserve">N4 – Testing &amp; Phân phối Nội dung</t>
  </si>
  <si>
    <t xml:space="preserve">N5 – Phối hợp &amp; Tuân thủ (Content, Chính sách, Tài khoản)</t>
  </si>
  <si>
    <t xml:space="preserve">N6 – Tư duy &amp; Thái độ (Data-driven, Kỷ luật ngân sách, Học hỏi)</t>
  </si>
  <si>
    <t xml:space="preserve">TỔNG ĐIỂM TRỌNG SỐ</t>
  </si>
  <si>
    <t xml:space="preserve">▌ ĐIỀU KIỆN LOẠI THẲNG</t>
  </si>
  <si>
    <t xml:space="preserve">🚫  Không tự set up &amp; tối ưu chiến dịch được (chỉ lý thuyết) → Loại — vị trí cần hands-on</t>
  </si>
  <si>
    <t xml:space="preserve">🚫  Điểm N1 (Vận hành) hoặc N2 (Tối ưu &amp; ngân sách) &lt; 3.0 → Loại</t>
  </si>
  <si>
    <t xml:space="preserve">🚫  Không đọc/ra quyết định được từ dữ liệu &amp; không hiểu tracking cơ bản → Loại</t>
  </si>
  <si>
    <t xml:space="preserve">🚫  Báo cáo số liệu thiếu trung thực (chọn số đẹp, không đối chiếu) → Loại</t>
  </si>
  <si>
    <t xml:space="preserve">🚫  Coi nhẹ kỷ luật ngân sách/chính sách nền tảng → Cân nhắc kỹ/Loại</t>
  </si>
  <si>
    <t xml:space="preserve">🚫  Tổng điểm trọng số &lt; 2.5 → Loại</t>
  </si>
  <si>
    <t xml:space="preserve">▌ KHUYẾN NGHỊ</t>
  </si>
  <si>
    <t xml:space="preserve">⭐ Điểm ≥ 3.5</t>
  </si>
  <si>
    <t xml:space="preserve">ƯU TIÊN CAO — Nhận ngay; có tố chất lên Senior Media Buyer</t>
  </si>
  <si>
    <t xml:space="preserve">✅ Điểm 3.0–3.49</t>
  </si>
  <si>
    <t xml:space="preserve">ĐẠT — Nhận được; đào tạo theo lộ trình; kèm sát vận hành/tối ưu 1-2 tháng đầu</t>
  </si>
  <si>
    <t xml:space="preserve">⚠️ Điểm 2.5–2.99</t>
  </si>
  <si>
    <t xml:space="preserve">CÂN NHẮC — Chỉ nếu tư duy số &amp; hands-on cơ bản tốt &amp; chịu học; thử việc rõ KPI</t>
  </si>
  <si>
    <t xml:space="preserve">❌ Điểm &lt; 2.5 hoặc không tự set up/tối ưu được</t>
  </si>
  <si>
    <t xml:space="preserve">LOẠI — Không phù hợp vị trí NV Media tại HungPhat</t>
  </si>
  <si>
    <t xml:space="preserve">KẾ HOẠCH 30 – 60 – 90 NGÀY – NHÂN VIÊN MEDIA (MEDIA BUYER / AD OPERATIONS)</t>
  </si>
  <si>
    <t xml:space="preserve">CTCP Hùng Phát | Cam kết 2 chiều: NV Media &amp; Công ty</t>
  </si>
  <si>
    <t xml:space="preserve">NV Media cam kết: Trực tiếp set up, vận hành &amp; tối ưu chiến dịch · Kỷ luật ngân sách &amp; pacing · Kiểm tracking &amp; báo cáo số liệu trung thực · Tuân thủ chính sách nền tảng &amp; an toàn tài khoản · Chủ động học công cụ.</t>
  </si>
  <si>
    <t xml:space="preserve">Công ty cam kết: Bàn giao tài khoản quảng cáo, quyền nền tảng/tracking, ngân sách phân công tuần đầu · TN Media kèm cặp &amp; review · Cung cấp công cụ đo lường · Hỗ trợ phối hợp Content.</t>
  </si>
  <si>
    <t xml:space="preserve">TUẦN</t>
  </si>
  <si>
    <t xml:space="preserve">CHỦ ĐỀ</t>
  </si>
  <si>
    <t xml:space="preserve">HÀNH ĐỘNG CỤ THỂ</t>
  </si>
  <si>
    <t xml:space="preserve">NGƯỜI HỖ TRỢ</t>
  </si>
  <si>
    <t xml:space="preserve">HOÀN THÀNH</t>
  </si>
  <si>
    <t xml:space="preserve">GIAI ĐOẠN 1 – 30 NGÀY ĐẦU: HIỂU TÀI KHOẢN, NỀN TẢNG, TRACKING &amp; SET UP</t>
  </si>
  <si>
    <t xml:space="preserve">Tuần 1</t>
  </si>
  <si>
    <t xml:space="preserve">Tiếp nhận &amp; Định hướng</t>
  </si>
  <si>
    <t xml:space="preserve">Gặp TN Media: nhận kỳ vọng (ROAS/CPA, ngân sách), KPI, thẩm quyền. Nhận tài khoản quảng cáo &amp; quyền tracking.</t>
  </si>
  <si>
    <t xml:space="preserve">□</t>
  </si>
  <si>
    <t xml:space="preserve">Tuần 2</t>
  </si>
  <si>
    <t xml:space="preserve">Nắm nền tảng &amp; cấu trúc tài khoản</t>
  </si>
  <si>
    <t xml:space="preserve">Làm quen nền tảng được giao (Meta/Google/TikTok): cấu trúc campaign/adset/ad, trình quản lý, chính sách cơ bản.</t>
  </si>
  <si>
    <t xml:space="preserve">Tuần 3</t>
  </si>
  <si>
    <t xml:space="preserve">Set up &amp; vận hành thử (có giám sát)</t>
  </si>
  <si>
    <t xml:space="preserve">Tự set up 1 chiến dịch nhỏ đúng cấu trúc; kiểm tracking; vận hành dưới giám sát.</t>
  </si>
  <si>
    <t xml:space="preserve">Tuần 4</t>
  </si>
  <si>
    <t xml:space="preserve">Đánh giá 30 ngày</t>
  </si>
  <si>
    <t xml:space="preserve">Nắm nền tảng-tracking; set up đúng. TN Media đánh giá &amp; chỉ điểm cần cải thiện.</t>
  </si>
  <si>
    <t xml:space="preserve">DELIVERABLE GIAI ĐOẠN 1 ✅</t>
  </si>
  <si>
    <t xml:space="preserve">Deliverables bắt buộc</t>
  </si>
  <si>
    <t xml:space="preserve">✅ Nắm nền tảng &amp; cấu trúc tài khoản
✅ Tự set up 1 chiến dịch đúng cấu trúc + tracking đúng
✅ Hiểu KPI &amp; nguyên tắc kỷ luật ngân sách</t>
  </si>
  <si>
    <t xml:space="preserve">GIAI ĐOẠN 2 – 31-60 NGÀY: VÀO NHỊP VẬN HÀNH &amp; TỐI ƯU</t>
  </si>
  <si>
    <t xml:space="preserve">Tuần 5-6</t>
  </si>
  <si>
    <t xml:space="preserve">Vận hành &amp; tối ưu chiến dịch được giao</t>
  </si>
  <si>
    <t xml:space="preserve">Tự vận hành chiến dịch; theo dõi &amp; tối ưu ROAS/CPA hằng ngày; kiểm soát ngân sách/pacing.</t>
  </si>
  <si>
    <t xml:space="preserve">Tuần 7</t>
  </si>
  <si>
    <t xml:space="preserve">Testing &amp; đọc số liệu</t>
  </si>
  <si>
    <t xml:space="preserve">Chạy ≥ 1 A/B test; đọc &amp; đối chiếu số liệu; báo cáo hiệu quả.</t>
  </si>
  <si>
    <t xml:space="preserve">Tuần 8</t>
  </si>
  <si>
    <t xml:space="preserve">Phối hợp Content &amp; tuân thủ</t>
  </si>
  <si>
    <t xml:space="preserve">Phản hồi dữ liệu cho Content cải thiện creative; tuân thủ chính sách &amp; an toàn tài khoản.</t>
  </si>
  <si>
    <t xml:space="preserve">DELIVERABLE GIAI ĐOẠN 2 ✅</t>
  </si>
  <si>
    <t xml:space="preserve">✅ Vận hành chiến dịch đạt hiệu quả ≥ KH; chi trong ngân sách
✅ ≥ 1 test có kết luận + báo cáo chính xác
✅ Phối hợp Content + 0 vi phạm chính sách</t>
  </si>
  <si>
    <t xml:space="preserve">GIAI ĐOẠN 3 – 61-90 NGÀY: HIỆU QUẢ, TỐI ƯU &amp; CAM KẾT</t>
  </si>
  <si>
    <t xml:space="preserve">Tuần 9-10</t>
  </si>
  <si>
    <t xml:space="preserve">Tối ưu &amp; hỗ trợ scaling</t>
  </si>
  <si>
    <t xml:space="preserve">Tối ưu sâu hơn; hỗ trợ scale chiến dịch thắng theo hướng dẫn; giữ hiệu quả.</t>
  </si>
  <si>
    <t xml:space="preserve">Tuần 11</t>
  </si>
  <si>
    <t xml:space="preserve">Chuẩn hóa quy trình cá nhân</t>
  </si>
  <si>
    <t xml:space="preserve">Hệ thống hóa quy trình set up-tối ưu-kiểm tracking-báo cáo của mình.</t>
  </si>
  <si>
    <t xml:space="preserve">Tuần 12</t>
  </si>
  <si>
    <t xml:space="preserve">Tổng kết 90 ngày</t>
  </si>
  <si>
    <t xml:space="preserve">Báo cáo: hiệu quả (ROAS/CPA), ngân sách, tracking, testing, bài học. Trình KPI 6 tháng tiếp.</t>
  </si>
  <si>
    <t xml:space="preserve">DELIVERABLE GIAI ĐOẠN 3 ✅</t>
  </si>
  <si>
    <t xml:space="preserve">✅ Hiệu quả chiến dịch đạt ≥ KH; chi trong ngân sách ổn định
✅ Quy trình cá nhân (set up-tối ưu-tracking-báo cáo)
✅ KPI 6 tháng tiếp được TN Media/TP MKT ký</t>
  </si>
  <si>
    <t xml:space="preserve">LỘ TRÌNH PHÁT TRIỂN – NHÂN VIÊN MEDIA (MEDIA BUYER / AD OPERATIONS)</t>
  </si>
  <si>
    <t xml:space="preserve">CTCP Hùng Phát | Lộ trình thăng tiến từ vị trí hiện tại</t>
  </si>
  <si>
    <t xml:space="preserve">Đang đảm nhận</t>
  </si>
  <si>
    <t xml:space="preserve">12-18 tháng</t>
  </si>
  <si>
    <t xml:space="preserve">18-36 tháng</t>
  </si>
  <si>
    <t xml:space="preserve">2-3 năm</t>
  </si>
  <si>
    <t xml:space="preserve">▌ ĐỂ ĐẠT THĂNG TIẾN NHANH HƠN – 3 ĐIỀU NÊN LÀM</t>
  </si>
  <si>
    <t xml:space="preserve">1. HANDS-ON + SỐ THẬT LÀ LỢI THẾ: Ai tự set up &amp; tối ưu được chiến dịch đạt ROAS/CPA bằng số thật → chứng minh giá trị ngay, được giao ngân sách lớn hơn &amp; ưu tiên lên Senior.</t>
  </si>
  <si>
    <t xml:space="preserve">2. KỶ LUẬT NGÂN SÁCH &amp; TRACKING ĐÁNG TIN: Ai kiểm soát ngân sách tốt &amp; đảm bảo dữ liệu sạch/trung thực → được tin tưởng, là nền tảng vững để thăng tiến.</t>
  </si>
  <si>
    <t xml:space="preserve">3. CHỦ ĐỘNG HỌC &amp; TỐI ƯU: Ai liên tục cập nhật công cụ/chính sách &amp; tối ưu sâu, kèm được NV mới → thể hiện tố chất dẫn dắt, mở đường lên Trưởng nhóm Media.</t>
  </si>
  <si>
    <t xml:space="preserve">▌ XÁC NHẬN &amp; HIỆU LỰC</t>
  </si>
  <si>
    <t xml:space="preserve">Người được bổ nhiệm xác nhận (Ký, ghi rõ họ tên):</t>
  </si>
  <si>
    <t xml:space="preserve">TN Media / TP Marketing phê duyệt (Ký, đóng dấu):</t>
  </si>
  <si>
    <t xml:space="preserve">Ngày hiệu lực: ___/___/______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</si>
</sst>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0"/>
      </patternFill>
    </fill>
    <fill>
      <patternFill patternType="solid">
        <fgColor rgb="FFFFFFFF"/>
        <bgColor rgb="FFF2F2F2"/>
      </patternFill>
    </fill>
    <fill>
      <patternFill patternType="solid">
        <fgColor rgb="FFE9F3FF"/>
        <bgColor rgb="FFF2F2F2"/>
      </patternFill>
    </fill>
    <fill>
      <patternFill patternType="solid">
        <fgColor rgb="FFF2F2F2"/>
        <bgColor rgb="FFE9F3FF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DEEAF1"/>
      </patternFill>
    </fill>
    <fill>
      <patternFill patternType="solid">
        <fgColor rgb="FFD6E4F0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7"/>
    <col collapsed="false" customWidth="true" hidden="false" outlineLevel="0" max="3" min="3" style="0" width="31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5.3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</row>
    <row r="5" customFormat="false" ht="1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</row>
    <row r="6" customFormat="false" ht="22.3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</row>
    <row r="7" customFormat="false" ht="1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</row>
    <row r="8" customFormat="false" ht="22.35" hidden="false" customHeight="true" outlineLevel="0" collapsed="false">
      <c r="A8" s="4" t="s">
        <v>11</v>
      </c>
      <c r="B8" s="5" t="s">
        <v>12</v>
      </c>
      <c r="C8" s="5"/>
      <c r="D8" s="5"/>
      <c r="E8" s="5"/>
      <c r="F8" s="5"/>
    </row>
    <row r="9" customFormat="false" ht="22.35" hidden="false" customHeight="true" outlineLevel="0" collapsed="false">
      <c r="A9" s="4" t="s">
        <v>13</v>
      </c>
      <c r="B9" s="5" t="s">
        <v>14</v>
      </c>
      <c r="C9" s="5"/>
      <c r="D9" s="5"/>
      <c r="E9" s="5"/>
      <c r="F9" s="5"/>
    </row>
    <row r="10" customFormat="false" ht="22.35" hidden="false" customHeight="true" outlineLevel="0" collapsed="false">
      <c r="A10" s="4" t="s">
        <v>15</v>
      </c>
      <c r="B10" s="5" t="s">
        <v>16</v>
      </c>
      <c r="C10" s="5"/>
      <c r="D10" s="5"/>
      <c r="E10" s="5"/>
      <c r="F10" s="5"/>
    </row>
    <row r="11" customFormat="false" ht="32.8" hidden="false" customHeight="true" outlineLevel="0" collapsed="false">
      <c r="A11" s="4" t="s">
        <v>17</v>
      </c>
      <c r="B11" s="5" t="s">
        <v>18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19</v>
      </c>
      <c r="B12" s="5" t="s">
        <v>20</v>
      </c>
      <c r="C12" s="5"/>
      <c r="D12" s="5"/>
      <c r="E12" s="5"/>
      <c r="F12" s="5"/>
    </row>
    <row r="13" customFormat="false" ht="22.35" hidden="false" customHeight="true" outlineLevel="0" collapsed="false">
      <c r="A13" s="4" t="s">
        <v>21</v>
      </c>
      <c r="B13" s="5" t="s">
        <v>22</v>
      </c>
      <c r="C13" s="5"/>
      <c r="D13" s="5"/>
      <c r="E13" s="5"/>
      <c r="F13" s="5"/>
    </row>
    <row r="14" customFormat="false" ht="19.5" hidden="false" customHeight="true" outlineLevel="0" collapsed="false">
      <c r="A14" s="3" t="s">
        <v>23</v>
      </c>
      <c r="B14" s="3"/>
      <c r="C14" s="3"/>
      <c r="D14" s="3"/>
      <c r="E14" s="3"/>
      <c r="F14" s="3"/>
    </row>
    <row r="15" customFormat="false" ht="57.75" hidden="false" customHeight="true" outlineLevel="0" collapsed="false">
      <c r="A15" s="6" t="s">
        <v>24</v>
      </c>
      <c r="B15" s="6"/>
      <c r="C15" s="6"/>
      <c r="D15" s="6"/>
      <c r="E15" s="6"/>
      <c r="F15" s="6"/>
    </row>
    <row r="16" customFormat="false" ht="19.5" hidden="false" customHeight="true" outlineLevel="0" collapsed="false">
      <c r="A16" s="3" t="s">
        <v>25</v>
      </c>
      <c r="B16" s="3"/>
      <c r="C16" s="3"/>
      <c r="D16" s="3"/>
      <c r="E16" s="3"/>
      <c r="F16" s="3"/>
    </row>
    <row r="17" customFormat="false" ht="24" hidden="false" customHeight="true" outlineLevel="0" collapsed="false">
      <c r="A17" s="7" t="s">
        <v>26</v>
      </c>
      <c r="B17" s="7" t="s">
        <v>27</v>
      </c>
      <c r="C17" s="7" t="s">
        <v>28</v>
      </c>
      <c r="D17" s="7" t="s">
        <v>29</v>
      </c>
      <c r="E17" s="7" t="s">
        <v>30</v>
      </c>
      <c r="F17" s="7" t="s">
        <v>31</v>
      </c>
    </row>
    <row r="18" customFormat="false" ht="18" hidden="false" customHeight="true" outlineLevel="0" collapsed="false">
      <c r="A18" s="8" t="s">
        <v>32</v>
      </c>
      <c r="B18" s="8"/>
      <c r="C18" s="8"/>
      <c r="D18" s="8"/>
      <c r="E18" s="8"/>
      <c r="F18" s="8"/>
    </row>
    <row r="19" customFormat="false" ht="45.75" hidden="false" customHeight="true" outlineLevel="0" collapsed="false">
      <c r="A19" s="9" t="s">
        <v>33</v>
      </c>
      <c r="B19" s="5" t="s">
        <v>34</v>
      </c>
      <c r="C19" s="5" t="s">
        <v>35</v>
      </c>
      <c r="D19" s="10" t="s">
        <v>36</v>
      </c>
      <c r="E19" s="10" t="s">
        <v>37</v>
      </c>
      <c r="F19" s="10" t="s">
        <v>38</v>
      </c>
    </row>
    <row r="20" customFormat="false" ht="45.75" hidden="false" customHeight="true" outlineLevel="0" collapsed="false">
      <c r="A20" s="11" t="s">
        <v>39</v>
      </c>
      <c r="B20" s="12" t="s">
        <v>40</v>
      </c>
      <c r="C20" s="12" t="s">
        <v>41</v>
      </c>
      <c r="D20" s="13" t="s">
        <v>42</v>
      </c>
      <c r="E20" s="13" t="s">
        <v>43</v>
      </c>
      <c r="F20" s="13" t="s">
        <v>44</v>
      </c>
    </row>
    <row r="21" customFormat="false" ht="45.75" hidden="false" customHeight="true" outlineLevel="0" collapsed="false">
      <c r="A21" s="9" t="s">
        <v>45</v>
      </c>
      <c r="B21" s="5" t="s">
        <v>46</v>
      </c>
      <c r="C21" s="5" t="s">
        <v>47</v>
      </c>
      <c r="D21" s="10" t="s">
        <v>36</v>
      </c>
      <c r="E21" s="10" t="s">
        <v>48</v>
      </c>
      <c r="F21" s="10" t="s">
        <v>49</v>
      </c>
    </row>
    <row r="22" customFormat="false" ht="18" hidden="false" customHeight="true" outlineLevel="0" collapsed="false">
      <c r="A22" s="8" t="s">
        <v>50</v>
      </c>
      <c r="B22" s="8"/>
      <c r="C22" s="8"/>
      <c r="D22" s="8"/>
      <c r="E22" s="8"/>
      <c r="F22" s="8"/>
    </row>
    <row r="23" customFormat="false" ht="45.75" hidden="false" customHeight="true" outlineLevel="0" collapsed="false">
      <c r="A23" s="9" t="s">
        <v>51</v>
      </c>
      <c r="B23" s="5" t="s">
        <v>52</v>
      </c>
      <c r="C23" s="5" t="s">
        <v>53</v>
      </c>
      <c r="D23" s="10" t="s">
        <v>42</v>
      </c>
      <c r="E23" s="10" t="s">
        <v>54</v>
      </c>
      <c r="F23" s="10" t="s">
        <v>55</v>
      </c>
    </row>
    <row r="24" customFormat="false" ht="45.75" hidden="false" customHeight="true" outlineLevel="0" collapsed="false">
      <c r="A24" s="11" t="s">
        <v>56</v>
      </c>
      <c r="B24" s="12" t="s">
        <v>57</v>
      </c>
      <c r="C24" s="12" t="s">
        <v>58</v>
      </c>
      <c r="D24" s="13" t="s">
        <v>42</v>
      </c>
      <c r="E24" s="13" t="s">
        <v>59</v>
      </c>
      <c r="F24" s="13" t="s">
        <v>60</v>
      </c>
    </row>
    <row r="25" customFormat="false" ht="45.75" hidden="false" customHeight="true" outlineLevel="0" collapsed="false">
      <c r="A25" s="9" t="s">
        <v>61</v>
      </c>
      <c r="B25" s="5" t="s">
        <v>62</v>
      </c>
      <c r="C25" s="5" t="s">
        <v>63</v>
      </c>
      <c r="D25" s="10" t="s">
        <v>42</v>
      </c>
      <c r="E25" s="10" t="s">
        <v>64</v>
      </c>
      <c r="F25" s="10" t="s">
        <v>44</v>
      </c>
    </row>
    <row r="26" customFormat="false" ht="18" hidden="false" customHeight="true" outlineLevel="0" collapsed="false">
      <c r="A26" s="8" t="s">
        <v>65</v>
      </c>
      <c r="B26" s="8"/>
      <c r="C26" s="8"/>
      <c r="D26" s="8"/>
      <c r="E26" s="8"/>
      <c r="F26" s="8"/>
    </row>
    <row r="27" customFormat="false" ht="45.75" hidden="false" customHeight="true" outlineLevel="0" collapsed="false">
      <c r="A27" s="9" t="s">
        <v>66</v>
      </c>
      <c r="B27" s="5" t="s">
        <v>67</v>
      </c>
      <c r="C27" s="5" t="s">
        <v>68</v>
      </c>
      <c r="D27" s="10" t="s">
        <v>69</v>
      </c>
      <c r="E27" s="10" t="s">
        <v>70</v>
      </c>
      <c r="F27" s="10" t="s">
        <v>71</v>
      </c>
    </row>
    <row r="28" customFormat="false" ht="45.75" hidden="false" customHeight="true" outlineLevel="0" collapsed="false">
      <c r="A28" s="11" t="s">
        <v>72</v>
      </c>
      <c r="B28" s="12" t="s">
        <v>73</v>
      </c>
      <c r="C28" s="12" t="s">
        <v>74</v>
      </c>
      <c r="D28" s="13" t="s">
        <v>36</v>
      </c>
      <c r="E28" s="13" t="s">
        <v>75</v>
      </c>
      <c r="F28" s="13" t="s">
        <v>55</v>
      </c>
    </row>
    <row r="29" customFormat="false" ht="18" hidden="false" customHeight="true" outlineLevel="0" collapsed="false">
      <c r="A29" s="8" t="s">
        <v>76</v>
      </c>
      <c r="B29" s="8"/>
      <c r="C29" s="8"/>
      <c r="D29" s="8"/>
      <c r="E29" s="8"/>
      <c r="F29" s="8"/>
    </row>
    <row r="30" customFormat="false" ht="45.75" hidden="false" customHeight="true" outlineLevel="0" collapsed="false">
      <c r="A30" s="9" t="s">
        <v>77</v>
      </c>
      <c r="B30" s="5" t="s">
        <v>78</v>
      </c>
      <c r="C30" s="5" t="s">
        <v>79</v>
      </c>
      <c r="D30" s="10" t="s">
        <v>36</v>
      </c>
      <c r="E30" s="10" t="s">
        <v>80</v>
      </c>
      <c r="F30" s="10" t="s">
        <v>38</v>
      </c>
    </row>
    <row r="31" customFormat="false" ht="45.75" hidden="false" customHeight="true" outlineLevel="0" collapsed="false">
      <c r="A31" s="11" t="s">
        <v>81</v>
      </c>
      <c r="B31" s="12" t="s">
        <v>82</v>
      </c>
      <c r="C31" s="12" t="s">
        <v>83</v>
      </c>
      <c r="D31" s="13" t="s">
        <v>69</v>
      </c>
      <c r="E31" s="13" t="s">
        <v>84</v>
      </c>
      <c r="F31" s="13" t="s">
        <v>38</v>
      </c>
    </row>
    <row r="32" customFormat="false" ht="18" hidden="false" customHeight="true" outlineLevel="0" collapsed="false">
      <c r="A32" s="8" t="s">
        <v>85</v>
      </c>
      <c r="B32" s="8"/>
      <c r="C32" s="8"/>
      <c r="D32" s="8"/>
      <c r="E32" s="8"/>
      <c r="F32" s="8"/>
    </row>
    <row r="33" customFormat="false" ht="45.75" hidden="false" customHeight="true" outlineLevel="0" collapsed="false">
      <c r="A33" s="9" t="s">
        <v>86</v>
      </c>
      <c r="B33" s="5" t="s">
        <v>87</v>
      </c>
      <c r="C33" s="5" t="s">
        <v>88</v>
      </c>
      <c r="D33" s="10" t="s">
        <v>69</v>
      </c>
      <c r="E33" s="10" t="s">
        <v>89</v>
      </c>
      <c r="F33" s="10" t="s">
        <v>90</v>
      </c>
    </row>
    <row r="34" customFormat="false" ht="45.75" hidden="false" customHeight="true" outlineLevel="0" collapsed="false">
      <c r="A34" s="11" t="s">
        <v>91</v>
      </c>
      <c r="B34" s="12" t="s">
        <v>92</v>
      </c>
      <c r="C34" s="12" t="s">
        <v>93</v>
      </c>
      <c r="D34" s="13" t="s">
        <v>36</v>
      </c>
      <c r="E34" s="13" t="s">
        <v>94</v>
      </c>
      <c r="F34" s="13" t="s">
        <v>95</v>
      </c>
    </row>
    <row r="35" customFormat="false" ht="18" hidden="false" customHeight="true" outlineLevel="0" collapsed="false">
      <c r="A35" s="8" t="s">
        <v>96</v>
      </c>
      <c r="B35" s="8"/>
      <c r="C35" s="8"/>
      <c r="D35" s="8"/>
      <c r="E35" s="8"/>
      <c r="F35" s="8"/>
    </row>
    <row r="36" customFormat="false" ht="45.75" hidden="false" customHeight="true" outlineLevel="0" collapsed="false">
      <c r="A36" s="9" t="s">
        <v>97</v>
      </c>
      <c r="B36" s="5" t="s">
        <v>98</v>
      </c>
      <c r="C36" s="5" t="s">
        <v>99</v>
      </c>
      <c r="D36" s="10" t="s">
        <v>100</v>
      </c>
      <c r="E36" s="10" t="s">
        <v>101</v>
      </c>
      <c r="F36" s="10" t="s">
        <v>44</v>
      </c>
    </row>
    <row r="37" customFormat="false" ht="45.75" hidden="false" customHeight="true" outlineLevel="0" collapsed="false">
      <c r="A37" s="11" t="s">
        <v>102</v>
      </c>
      <c r="B37" s="12" t="s">
        <v>103</v>
      </c>
      <c r="C37" s="12" t="s">
        <v>104</v>
      </c>
      <c r="D37" s="13" t="s">
        <v>36</v>
      </c>
      <c r="E37" s="13" t="s">
        <v>105</v>
      </c>
      <c r="F37" s="13" t="s">
        <v>44</v>
      </c>
    </row>
    <row r="38" customFormat="false" ht="19.5" hidden="false" customHeight="true" outlineLevel="0" collapsed="false">
      <c r="A38" s="3" t="s">
        <v>106</v>
      </c>
      <c r="B38" s="3"/>
      <c r="C38" s="3"/>
      <c r="D38" s="3"/>
      <c r="E38" s="3"/>
      <c r="F38" s="3"/>
    </row>
    <row r="39" customFormat="false" ht="24" hidden="false" customHeight="true" outlineLevel="0" collapsed="false">
      <c r="A39" s="7" t="s">
        <v>26</v>
      </c>
      <c r="B39" s="7" t="s">
        <v>107</v>
      </c>
      <c r="C39" s="7" t="s">
        <v>108</v>
      </c>
      <c r="D39" s="7" t="s">
        <v>109</v>
      </c>
      <c r="E39" s="7" t="s">
        <v>110</v>
      </c>
      <c r="F39" s="7" t="s">
        <v>111</v>
      </c>
    </row>
    <row r="40" customFormat="false" ht="33.75" hidden="false" customHeight="true" outlineLevel="0" collapsed="false">
      <c r="A40" s="9" t="s">
        <v>112</v>
      </c>
      <c r="B40" s="5" t="s">
        <v>113</v>
      </c>
      <c r="C40" s="10" t="s">
        <v>114</v>
      </c>
      <c r="D40" s="5" t="s">
        <v>115</v>
      </c>
      <c r="E40" s="5" t="s">
        <v>116</v>
      </c>
      <c r="F40" s="5" t="s">
        <v>117</v>
      </c>
    </row>
    <row r="41" customFormat="false" ht="33.75" hidden="false" customHeight="true" outlineLevel="0" collapsed="false">
      <c r="A41" s="11" t="s">
        <v>118</v>
      </c>
      <c r="B41" s="12" t="s">
        <v>119</v>
      </c>
      <c r="C41" s="13" t="s">
        <v>120</v>
      </c>
      <c r="D41" s="12" t="s">
        <v>121</v>
      </c>
      <c r="E41" s="12" t="s">
        <v>122</v>
      </c>
      <c r="F41" s="12" t="s">
        <v>123</v>
      </c>
    </row>
    <row r="42" customFormat="false" ht="33.75" hidden="false" customHeight="true" outlineLevel="0" collapsed="false">
      <c r="A42" s="9" t="s">
        <v>124</v>
      </c>
      <c r="B42" s="5" t="s">
        <v>125</v>
      </c>
      <c r="C42" s="10" t="s">
        <v>126</v>
      </c>
      <c r="D42" s="5" t="s">
        <v>127</v>
      </c>
      <c r="E42" s="5" t="s">
        <v>128</v>
      </c>
      <c r="F42" s="5" t="s">
        <v>129</v>
      </c>
    </row>
    <row r="43" customFormat="false" ht="33.75" hidden="false" customHeight="true" outlineLevel="0" collapsed="false">
      <c r="A43" s="11" t="s">
        <v>130</v>
      </c>
      <c r="B43" s="12" t="s">
        <v>131</v>
      </c>
      <c r="C43" s="13" t="s">
        <v>132</v>
      </c>
      <c r="D43" s="12" t="s">
        <v>133</v>
      </c>
      <c r="E43" s="12" t="s">
        <v>134</v>
      </c>
      <c r="F43" s="12" t="s">
        <v>135</v>
      </c>
    </row>
    <row r="44" customFormat="false" ht="33.75" hidden="false" customHeight="true" outlineLevel="0" collapsed="false">
      <c r="A44" s="9" t="s">
        <v>136</v>
      </c>
      <c r="B44" s="5" t="s">
        <v>137</v>
      </c>
      <c r="C44" s="10" t="s">
        <v>138</v>
      </c>
      <c r="D44" s="5" t="s">
        <v>139</v>
      </c>
      <c r="E44" s="5" t="s">
        <v>140</v>
      </c>
      <c r="F44" s="5" t="s">
        <v>141</v>
      </c>
    </row>
    <row r="45" customFormat="false" ht="33.75" hidden="false" customHeight="true" outlineLevel="0" collapsed="false">
      <c r="A45" s="11" t="s">
        <v>142</v>
      </c>
      <c r="B45" s="12" t="s">
        <v>143</v>
      </c>
      <c r="C45" s="13" t="s">
        <v>144</v>
      </c>
      <c r="D45" s="12" t="s">
        <v>145</v>
      </c>
      <c r="E45" s="12" t="s">
        <v>146</v>
      </c>
      <c r="F45" s="12" t="s">
        <v>44</v>
      </c>
    </row>
    <row r="46" customFormat="false" ht="19.5" hidden="false" customHeight="true" outlineLevel="0" collapsed="false">
      <c r="A46" s="3" t="s">
        <v>147</v>
      </c>
      <c r="B46" s="3"/>
      <c r="C46" s="3"/>
      <c r="D46" s="3"/>
      <c r="E46" s="3"/>
      <c r="F46" s="3"/>
    </row>
    <row r="47" customFormat="false" ht="24" hidden="false" customHeight="true" outlineLevel="0" collapsed="false">
      <c r="A47" s="7" t="s">
        <v>148</v>
      </c>
      <c r="B47" s="7"/>
      <c r="C47" s="7"/>
      <c r="D47" s="7" t="s">
        <v>149</v>
      </c>
      <c r="E47" s="7"/>
      <c r="F47" s="7"/>
    </row>
    <row r="48" customFormat="false" ht="30" hidden="false" customHeight="true" outlineLevel="0" collapsed="false">
      <c r="A48" s="5" t="s">
        <v>150</v>
      </c>
      <c r="B48" s="5"/>
      <c r="C48" s="5"/>
      <c r="D48" s="5" t="s">
        <v>151</v>
      </c>
      <c r="E48" s="5"/>
      <c r="F48" s="5"/>
    </row>
    <row r="49" customFormat="false" ht="30" hidden="false" customHeight="true" outlineLevel="0" collapsed="false">
      <c r="A49" s="12" t="s">
        <v>152</v>
      </c>
      <c r="B49" s="12"/>
      <c r="C49" s="12"/>
      <c r="D49" s="12" t="s">
        <v>153</v>
      </c>
      <c r="E49" s="12"/>
      <c r="F49" s="12"/>
    </row>
    <row r="50" customFormat="false" ht="30" hidden="false" customHeight="true" outlineLevel="0" collapsed="false">
      <c r="A50" s="5" t="s">
        <v>154</v>
      </c>
      <c r="B50" s="5"/>
      <c r="C50" s="5"/>
      <c r="D50" s="5" t="s">
        <v>155</v>
      </c>
      <c r="E50" s="5"/>
      <c r="F50" s="5"/>
    </row>
    <row r="51" customFormat="false" ht="30" hidden="false" customHeight="true" outlineLevel="0" collapsed="false">
      <c r="A51" s="12" t="s">
        <v>156</v>
      </c>
      <c r="B51" s="12"/>
      <c r="C51" s="12"/>
      <c r="D51" s="12" t="s">
        <v>157</v>
      </c>
      <c r="E51" s="12"/>
      <c r="F51" s="12"/>
    </row>
    <row r="52" customFormat="false" ht="30" hidden="false" customHeight="true" outlineLevel="0" collapsed="false">
      <c r="A52" s="5" t="s">
        <v>158</v>
      </c>
      <c r="B52" s="5"/>
      <c r="C52" s="5"/>
      <c r="D52" s="5" t="s">
        <v>159</v>
      </c>
      <c r="E52" s="5"/>
      <c r="F52" s="5"/>
    </row>
    <row r="53" customFormat="false" ht="30" hidden="false" customHeight="true" outlineLevel="0" collapsed="false">
      <c r="A53" s="12" t="s">
        <v>160</v>
      </c>
      <c r="B53" s="12"/>
      <c r="C53" s="12"/>
      <c r="D53" s="12" t="s">
        <v>161</v>
      </c>
      <c r="E53" s="12"/>
      <c r="F53" s="12"/>
    </row>
    <row r="54" customFormat="false" ht="30" hidden="false" customHeight="true" outlineLevel="0" collapsed="false">
      <c r="A54" s="5" t="s">
        <v>162</v>
      </c>
      <c r="B54" s="5"/>
      <c r="C54" s="5"/>
      <c r="D54" s="5" t="s">
        <v>163</v>
      </c>
      <c r="E54" s="5"/>
      <c r="F54" s="5"/>
    </row>
    <row r="55" customFormat="false" ht="19.5" hidden="false" customHeight="true" outlineLevel="0" collapsed="false">
      <c r="A55" s="3" t="s">
        <v>164</v>
      </c>
      <c r="B55" s="3"/>
      <c r="C55" s="3"/>
      <c r="D55" s="3"/>
      <c r="E55" s="3"/>
      <c r="F55" s="3"/>
    </row>
    <row r="56" customFormat="false" ht="18" hidden="false" customHeight="true" outlineLevel="0" collapsed="false">
      <c r="A56" s="14" t="s">
        <v>165</v>
      </c>
      <c r="B56" s="14"/>
      <c r="C56" s="14"/>
      <c r="D56" s="14"/>
      <c r="E56" s="14"/>
      <c r="F56" s="14"/>
    </row>
    <row r="57" customFormat="false" ht="24" hidden="false" customHeight="true" outlineLevel="0" collapsed="false">
      <c r="A57" s="7" t="s">
        <v>166</v>
      </c>
      <c r="B57" s="7" t="s">
        <v>167</v>
      </c>
      <c r="C57" s="7" t="s">
        <v>108</v>
      </c>
      <c r="D57" s="7" t="s">
        <v>168</v>
      </c>
      <c r="E57" s="7" t="s">
        <v>169</v>
      </c>
      <c r="F57" s="7" t="s">
        <v>170</v>
      </c>
    </row>
    <row r="58" customFormat="false" ht="43.5" hidden="false" customHeight="true" outlineLevel="0" collapsed="false">
      <c r="A58" s="9" t="s">
        <v>171</v>
      </c>
      <c r="B58" s="5" t="s">
        <v>172</v>
      </c>
      <c r="C58" s="10" t="s">
        <v>114</v>
      </c>
      <c r="D58" s="10" t="s">
        <v>173</v>
      </c>
      <c r="E58" s="5" t="s">
        <v>174</v>
      </c>
      <c r="F58" s="10" t="s">
        <v>175</v>
      </c>
    </row>
    <row r="59" customFormat="false" ht="43.5" hidden="false" customHeight="true" outlineLevel="0" collapsed="false">
      <c r="A59" s="11" t="s">
        <v>176</v>
      </c>
      <c r="B59" s="12" t="s">
        <v>177</v>
      </c>
      <c r="C59" s="13" t="s">
        <v>178</v>
      </c>
      <c r="D59" s="13" t="s">
        <v>173</v>
      </c>
      <c r="E59" s="12" t="s">
        <v>179</v>
      </c>
      <c r="F59" s="13" t="s">
        <v>175</v>
      </c>
    </row>
    <row r="60" customFormat="false" ht="43.5" hidden="false" customHeight="true" outlineLevel="0" collapsed="false">
      <c r="A60" s="9" t="s">
        <v>180</v>
      </c>
      <c r="B60" s="5" t="s">
        <v>181</v>
      </c>
      <c r="C60" s="10" t="s">
        <v>132</v>
      </c>
      <c r="D60" s="10" t="s">
        <v>173</v>
      </c>
      <c r="E60" s="5" t="s">
        <v>182</v>
      </c>
      <c r="F60" s="10" t="s">
        <v>175</v>
      </c>
    </row>
    <row r="61" customFormat="false" ht="43.5" hidden="false" customHeight="true" outlineLevel="0" collapsed="false">
      <c r="A61" s="11" t="s">
        <v>183</v>
      </c>
      <c r="B61" s="12" t="s">
        <v>184</v>
      </c>
      <c r="C61" s="13" t="s">
        <v>185</v>
      </c>
      <c r="D61" s="13" t="s">
        <v>173</v>
      </c>
      <c r="E61" s="12" t="s">
        <v>186</v>
      </c>
      <c r="F61" s="13" t="s">
        <v>175</v>
      </c>
    </row>
    <row r="62" customFormat="false" ht="43.5" hidden="false" customHeight="true" outlineLevel="0" collapsed="false">
      <c r="A62" s="9" t="s">
        <v>187</v>
      </c>
      <c r="B62" s="5" t="s">
        <v>188</v>
      </c>
      <c r="C62" s="10" t="s">
        <v>138</v>
      </c>
      <c r="D62" s="10" t="s">
        <v>173</v>
      </c>
      <c r="E62" s="5" t="s">
        <v>189</v>
      </c>
      <c r="F62" s="10" t="s">
        <v>175</v>
      </c>
    </row>
    <row r="63" customFormat="false" ht="43.5" hidden="false" customHeight="true" outlineLevel="0" collapsed="false">
      <c r="A63" s="11" t="s">
        <v>190</v>
      </c>
      <c r="B63" s="12" t="s">
        <v>191</v>
      </c>
      <c r="C63" s="13" t="s">
        <v>144</v>
      </c>
      <c r="D63" s="13" t="s">
        <v>173</v>
      </c>
      <c r="E63" s="12" t="s">
        <v>192</v>
      </c>
      <c r="F63" s="13" t="s">
        <v>175</v>
      </c>
    </row>
    <row r="64" customFormat="false" ht="19.5" hidden="false" customHeight="true" outlineLevel="0" collapsed="false">
      <c r="A64" s="3" t="s">
        <v>193</v>
      </c>
      <c r="B64" s="3"/>
      <c r="C64" s="3"/>
      <c r="D64" s="3"/>
      <c r="E64" s="3"/>
      <c r="F64" s="3"/>
    </row>
    <row r="65" customFormat="false" ht="24" hidden="false" customHeight="true" outlineLevel="0" collapsed="false">
      <c r="A65" s="14" t="s">
        <v>194</v>
      </c>
      <c r="B65" s="14"/>
      <c r="C65" s="14"/>
      <c r="D65" s="14"/>
      <c r="E65" s="14"/>
      <c r="F65" s="14"/>
    </row>
    <row r="66" customFormat="false" ht="15" hidden="false" customHeight="true" outlineLevel="0" collapsed="false">
      <c r="A66" s="8" t="s">
        <v>195</v>
      </c>
      <c r="B66" s="8"/>
      <c r="C66" s="8" t="s">
        <v>196</v>
      </c>
      <c r="D66" s="8"/>
      <c r="E66" s="7" t="s">
        <v>197</v>
      </c>
      <c r="F66" s="7"/>
    </row>
    <row r="67" customFormat="false" ht="18" hidden="false" customHeight="true" outlineLevel="0" collapsed="false">
      <c r="A67" s="15" t="s">
        <v>198</v>
      </c>
      <c r="B67" s="15"/>
      <c r="C67" s="15"/>
      <c r="D67" s="15"/>
      <c r="E67" s="15"/>
      <c r="F67" s="15"/>
    </row>
    <row r="68" customFormat="false" ht="31.5" hidden="false" customHeight="true" outlineLevel="0" collapsed="false">
      <c r="A68" s="5" t="s">
        <v>199</v>
      </c>
      <c r="B68" s="5"/>
      <c r="C68" s="5" t="s">
        <v>200</v>
      </c>
      <c r="D68" s="5"/>
      <c r="E68" s="10" t="s">
        <v>44</v>
      </c>
      <c r="F68" s="10"/>
    </row>
    <row r="69" customFormat="false" ht="31.5" hidden="false" customHeight="true" outlineLevel="0" collapsed="false">
      <c r="A69" s="12" t="s">
        <v>201</v>
      </c>
      <c r="B69" s="12"/>
      <c r="C69" s="12" t="s">
        <v>202</v>
      </c>
      <c r="D69" s="12"/>
      <c r="E69" s="13" t="s">
        <v>203</v>
      </c>
      <c r="F69" s="13"/>
    </row>
    <row r="70" customFormat="false" ht="18" hidden="false" customHeight="true" outlineLevel="0" collapsed="false">
      <c r="A70" s="15" t="s">
        <v>204</v>
      </c>
      <c r="B70" s="15"/>
      <c r="C70" s="15"/>
      <c r="D70" s="15"/>
      <c r="E70" s="15"/>
      <c r="F70" s="15"/>
    </row>
    <row r="71" customFormat="false" ht="31.5" hidden="false" customHeight="true" outlineLevel="0" collapsed="false">
      <c r="A71" s="5" t="s">
        <v>205</v>
      </c>
      <c r="B71" s="5"/>
      <c r="C71" s="5" t="s">
        <v>206</v>
      </c>
      <c r="D71" s="5"/>
      <c r="E71" s="10" t="s">
        <v>44</v>
      </c>
      <c r="F71" s="10"/>
    </row>
    <row r="72" customFormat="false" ht="31.5" hidden="false" customHeight="true" outlineLevel="0" collapsed="false">
      <c r="A72" s="12" t="s">
        <v>207</v>
      </c>
      <c r="B72" s="12"/>
      <c r="C72" s="12" t="s">
        <v>208</v>
      </c>
      <c r="D72" s="12"/>
      <c r="E72" s="13" t="s">
        <v>209</v>
      </c>
      <c r="F72" s="13"/>
    </row>
    <row r="73" customFormat="false" ht="18" hidden="false" customHeight="true" outlineLevel="0" collapsed="false">
      <c r="A73" s="15" t="s">
        <v>210</v>
      </c>
      <c r="B73" s="15"/>
      <c r="C73" s="15"/>
      <c r="D73" s="15"/>
      <c r="E73" s="15"/>
      <c r="F73" s="15"/>
    </row>
    <row r="74" customFormat="false" ht="31.5" hidden="false" customHeight="true" outlineLevel="0" collapsed="false">
      <c r="A74" s="5" t="s">
        <v>211</v>
      </c>
      <c r="B74" s="5"/>
      <c r="C74" s="5" t="s">
        <v>212</v>
      </c>
      <c r="D74" s="5"/>
      <c r="E74" s="10" t="s">
        <v>213</v>
      </c>
      <c r="F74" s="10"/>
    </row>
    <row r="75" customFormat="false" ht="31.5" hidden="false" customHeight="true" outlineLevel="0" collapsed="false">
      <c r="A75" s="12" t="s">
        <v>214</v>
      </c>
      <c r="B75" s="12"/>
      <c r="C75" s="12" t="s">
        <v>215</v>
      </c>
      <c r="D75" s="12"/>
      <c r="E75" s="13" t="s">
        <v>213</v>
      </c>
      <c r="F75" s="13"/>
    </row>
    <row r="76" customFormat="false" ht="19.5" hidden="false" customHeight="true" outlineLevel="0" collapsed="false">
      <c r="A76" s="3" t="s">
        <v>216</v>
      </c>
      <c r="B76" s="3"/>
      <c r="C76" s="3"/>
      <c r="D76" s="3"/>
      <c r="E76" s="3"/>
      <c r="F76" s="3"/>
    </row>
    <row r="77" customFormat="false" ht="24" hidden="false" customHeight="true" outlineLevel="0" collapsed="false">
      <c r="A77" s="7" t="s">
        <v>217</v>
      </c>
      <c r="B77" s="7" t="s">
        <v>218</v>
      </c>
      <c r="C77" s="7" t="s">
        <v>219</v>
      </c>
      <c r="D77" s="7" t="s">
        <v>220</v>
      </c>
      <c r="E77" s="7" t="s">
        <v>221</v>
      </c>
      <c r="F77" s="7" t="s">
        <v>222</v>
      </c>
    </row>
    <row r="78" customFormat="false" ht="39.75" hidden="false" customHeight="true" outlineLevel="0" collapsed="false">
      <c r="A78" s="9" t="s">
        <v>223</v>
      </c>
      <c r="B78" s="5" t="s">
        <v>224</v>
      </c>
      <c r="C78" s="5" t="s">
        <v>225</v>
      </c>
      <c r="D78" s="5" t="s">
        <v>226</v>
      </c>
      <c r="E78" s="10" t="s">
        <v>227</v>
      </c>
      <c r="F78" s="10" t="s">
        <v>228</v>
      </c>
    </row>
    <row r="79" customFormat="false" ht="39.75" hidden="false" customHeight="true" outlineLevel="0" collapsed="false">
      <c r="A79" s="11" t="s">
        <v>229</v>
      </c>
      <c r="B79" s="12" t="s">
        <v>230</v>
      </c>
      <c r="C79" s="12" t="s">
        <v>231</v>
      </c>
      <c r="D79" s="12" t="s">
        <v>232</v>
      </c>
      <c r="E79" s="13" t="s">
        <v>227</v>
      </c>
      <c r="F79" s="13" t="s">
        <v>229</v>
      </c>
    </row>
    <row r="80" customFormat="false" ht="39.75" hidden="false" customHeight="true" outlineLevel="0" collapsed="false">
      <c r="A80" s="9" t="s">
        <v>233</v>
      </c>
      <c r="B80" s="5" t="s">
        <v>234</v>
      </c>
      <c r="C80" s="5" t="s">
        <v>235</v>
      </c>
      <c r="D80" s="5" t="s">
        <v>236</v>
      </c>
      <c r="E80" s="10" t="s">
        <v>237</v>
      </c>
      <c r="F80" s="10" t="s">
        <v>238</v>
      </c>
    </row>
    <row r="81" customFormat="false" ht="39.75" hidden="false" customHeight="true" outlineLevel="0" collapsed="false">
      <c r="A81" s="11" t="s">
        <v>239</v>
      </c>
      <c r="B81" s="12" t="s">
        <v>240</v>
      </c>
      <c r="C81" s="12" t="s">
        <v>241</v>
      </c>
      <c r="D81" s="12" t="s">
        <v>242</v>
      </c>
      <c r="E81" s="13" t="s">
        <v>243</v>
      </c>
      <c r="F81" s="13" t="s">
        <v>244</v>
      </c>
    </row>
    <row r="82" customFormat="false" ht="19.5" hidden="false" customHeight="true" outlineLevel="0" collapsed="false">
      <c r="A82" s="3" t="s">
        <v>245</v>
      </c>
      <c r="B82" s="3"/>
      <c r="C82" s="3"/>
      <c r="D82" s="3"/>
      <c r="E82" s="3"/>
      <c r="F82" s="3"/>
    </row>
    <row r="83" customFormat="false" ht="18" hidden="false" customHeight="true" outlineLevel="0" collapsed="false">
      <c r="A83" s="4" t="s">
        <v>246</v>
      </c>
      <c r="B83" s="4"/>
      <c r="C83" s="4"/>
      <c r="D83" s="4"/>
      <c r="E83" s="4"/>
      <c r="F83" s="4"/>
    </row>
    <row r="84" customFormat="false" ht="15" hidden="false" customHeight="true" outlineLevel="0" collapsed="false">
      <c r="A84" s="4" t="s">
        <v>247</v>
      </c>
      <c r="B84" s="4"/>
      <c r="C84" s="4" t="s">
        <v>248</v>
      </c>
      <c r="D84" s="4"/>
      <c r="E84" s="4" t="s">
        <v>249</v>
      </c>
      <c r="F84" s="4"/>
    </row>
    <row r="85" customFormat="false" ht="54" hidden="false" customHeight="true" outlineLevel="0" collapsed="false">
      <c r="A85" s="5" t="s">
        <v>250</v>
      </c>
      <c r="B85" s="5"/>
      <c r="C85" s="5" t="s">
        <v>251</v>
      </c>
      <c r="D85" s="5"/>
      <c r="E85" s="5" t="s">
        <v>252</v>
      </c>
      <c r="F85" s="5"/>
    </row>
    <row r="86" customFormat="false" ht="18" hidden="false" customHeight="true" outlineLevel="0" collapsed="false">
      <c r="A86" s="16" t="s">
        <v>253</v>
      </c>
      <c r="B86" s="16"/>
      <c r="C86" s="16"/>
      <c r="D86" s="16"/>
      <c r="E86" s="16"/>
      <c r="F86" s="16"/>
    </row>
  </sheetData>
  <mergeCells count="78">
    <mergeCell ref="A1:F1"/>
    <mergeCell ref="A2:F2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4:F14"/>
    <mergeCell ref="A15:F15"/>
    <mergeCell ref="A16:F16"/>
    <mergeCell ref="A18:F18"/>
    <mergeCell ref="A22:F22"/>
    <mergeCell ref="A26:F26"/>
    <mergeCell ref="A29:F29"/>
    <mergeCell ref="A32:F32"/>
    <mergeCell ref="A35:F35"/>
    <mergeCell ref="A38:F38"/>
    <mergeCell ref="A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F55"/>
    <mergeCell ref="A56:F56"/>
    <mergeCell ref="A64:F64"/>
    <mergeCell ref="A65:F65"/>
    <mergeCell ref="A66:B66"/>
    <mergeCell ref="C66:D66"/>
    <mergeCell ref="E66:F66"/>
    <mergeCell ref="A67:F67"/>
    <mergeCell ref="A68:B68"/>
    <mergeCell ref="C68:D68"/>
    <mergeCell ref="E68:F68"/>
    <mergeCell ref="A69:B69"/>
    <mergeCell ref="C69:D69"/>
    <mergeCell ref="E69:F69"/>
    <mergeCell ref="A70:F70"/>
    <mergeCell ref="A71:B71"/>
    <mergeCell ref="C71:D71"/>
    <mergeCell ref="E71:F71"/>
    <mergeCell ref="A72:B72"/>
    <mergeCell ref="C72:D72"/>
    <mergeCell ref="E72:F72"/>
    <mergeCell ref="A73:F73"/>
    <mergeCell ref="A74:B74"/>
    <mergeCell ref="C74:D74"/>
    <mergeCell ref="E74:F74"/>
    <mergeCell ref="A75:B75"/>
    <mergeCell ref="C75:D75"/>
    <mergeCell ref="E75:F75"/>
    <mergeCell ref="A76:F76"/>
    <mergeCell ref="A82:F82"/>
    <mergeCell ref="A83:F83"/>
    <mergeCell ref="A84:B84"/>
    <mergeCell ref="C84:D84"/>
    <mergeCell ref="E84:F84"/>
    <mergeCell ref="A85:B85"/>
    <mergeCell ref="C85:D85"/>
    <mergeCell ref="E85:F85"/>
    <mergeCell ref="A86:F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6" min="6" style="0" width="22"/>
  </cols>
  <sheetData>
    <row r="1" customFormat="false" ht="37.5" hidden="false" customHeight="true" outlineLevel="0" collapsed="false">
      <c r="A1" s="1" t="s">
        <v>254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255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256</v>
      </c>
      <c r="B3" s="3"/>
      <c r="C3" s="3"/>
      <c r="D3" s="3"/>
      <c r="E3" s="3"/>
      <c r="F3" s="3"/>
    </row>
    <row r="4" customFormat="false" ht="24" hidden="false" customHeight="true" outlineLevel="0" collapsed="false">
      <c r="A4" s="7" t="s">
        <v>26</v>
      </c>
      <c r="B4" s="7" t="s">
        <v>257</v>
      </c>
      <c r="C4" s="7" t="s">
        <v>108</v>
      </c>
      <c r="D4" s="7" t="s">
        <v>168</v>
      </c>
      <c r="E4" s="7" t="s">
        <v>258</v>
      </c>
      <c r="F4" s="7" t="s">
        <v>259</v>
      </c>
    </row>
    <row r="5" customFormat="false" ht="21.75" hidden="false" customHeight="true" outlineLevel="0" collapsed="false">
      <c r="A5" s="9" t="s">
        <v>171</v>
      </c>
      <c r="B5" s="5" t="s">
        <v>172</v>
      </c>
      <c r="C5" s="10" t="s">
        <v>114</v>
      </c>
      <c r="D5" s="10" t="s">
        <v>173</v>
      </c>
      <c r="E5" s="10" t="s">
        <v>260</v>
      </c>
      <c r="F5" s="10" t="s">
        <v>175</v>
      </c>
    </row>
    <row r="6" customFormat="false" ht="21.75" hidden="false" customHeight="true" outlineLevel="0" collapsed="false">
      <c r="A6" s="11" t="s">
        <v>176</v>
      </c>
      <c r="B6" s="12" t="s">
        <v>177</v>
      </c>
      <c r="C6" s="13" t="s">
        <v>178</v>
      </c>
      <c r="D6" s="13" t="s">
        <v>173</v>
      </c>
      <c r="E6" s="13" t="s">
        <v>260</v>
      </c>
      <c r="F6" s="13" t="s">
        <v>175</v>
      </c>
    </row>
    <row r="7" customFormat="false" ht="21.75" hidden="false" customHeight="true" outlineLevel="0" collapsed="false">
      <c r="A7" s="9" t="s">
        <v>180</v>
      </c>
      <c r="B7" s="5" t="s">
        <v>181</v>
      </c>
      <c r="C7" s="10" t="s">
        <v>132</v>
      </c>
      <c r="D7" s="10" t="s">
        <v>173</v>
      </c>
      <c r="E7" s="10" t="s">
        <v>173</v>
      </c>
      <c r="F7" s="10" t="s">
        <v>175</v>
      </c>
    </row>
    <row r="8" customFormat="false" ht="21.75" hidden="false" customHeight="true" outlineLevel="0" collapsed="false">
      <c r="A8" s="11" t="s">
        <v>183</v>
      </c>
      <c r="B8" s="12" t="s">
        <v>184</v>
      </c>
      <c r="C8" s="13" t="s">
        <v>185</v>
      </c>
      <c r="D8" s="13" t="s">
        <v>173</v>
      </c>
      <c r="E8" s="13" t="s">
        <v>173</v>
      </c>
      <c r="F8" s="13" t="s">
        <v>175</v>
      </c>
    </row>
    <row r="9" customFormat="false" ht="21.75" hidden="false" customHeight="true" outlineLevel="0" collapsed="false">
      <c r="A9" s="9" t="s">
        <v>187</v>
      </c>
      <c r="B9" s="5" t="s">
        <v>188</v>
      </c>
      <c r="C9" s="10" t="s">
        <v>138</v>
      </c>
      <c r="D9" s="10" t="s">
        <v>173</v>
      </c>
      <c r="E9" s="10" t="s">
        <v>173</v>
      </c>
      <c r="F9" s="10" t="s">
        <v>175</v>
      </c>
    </row>
    <row r="10" customFormat="false" ht="21.75" hidden="false" customHeight="true" outlineLevel="0" collapsed="false">
      <c r="A10" s="11" t="s">
        <v>190</v>
      </c>
      <c r="B10" s="12" t="s">
        <v>191</v>
      </c>
      <c r="C10" s="13" t="s">
        <v>144</v>
      </c>
      <c r="D10" s="13" t="s">
        <v>173</v>
      </c>
      <c r="E10" s="13" t="s">
        <v>260</v>
      </c>
      <c r="F10" s="13" t="s">
        <v>175</v>
      </c>
    </row>
    <row r="11" customFormat="false" ht="19.5" hidden="false" customHeight="true" outlineLevel="0" collapsed="false">
      <c r="A11" s="10"/>
      <c r="B11" s="9" t="s">
        <v>261</v>
      </c>
      <c r="C11" s="10" t="s">
        <v>262</v>
      </c>
      <c r="D11" s="10" t="s">
        <v>263</v>
      </c>
      <c r="E11" s="10" t="s">
        <v>264</v>
      </c>
      <c r="F11" s="10" t="s">
        <v>265</v>
      </c>
    </row>
    <row r="12" customFormat="false" ht="19.5" hidden="false" customHeight="true" outlineLevel="0" collapsed="false">
      <c r="A12" s="3" t="s">
        <v>266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26</v>
      </c>
      <c r="B13" s="7" t="s">
        <v>267</v>
      </c>
      <c r="C13" s="7" t="s">
        <v>268</v>
      </c>
      <c r="D13" s="7" t="s">
        <v>269</v>
      </c>
      <c r="E13" s="7" t="s">
        <v>270</v>
      </c>
      <c r="F13" s="7" t="s">
        <v>271</v>
      </c>
    </row>
    <row r="14" customFormat="false" ht="18" hidden="false" customHeight="true" outlineLevel="0" collapsed="false">
      <c r="A14" s="8" t="s">
        <v>272</v>
      </c>
      <c r="B14" s="8"/>
      <c r="C14" s="8"/>
      <c r="D14" s="8"/>
      <c r="E14" s="8"/>
      <c r="F14" s="8"/>
    </row>
    <row r="15" customFormat="false" ht="57.75" hidden="false" customHeight="true" outlineLevel="0" collapsed="false">
      <c r="A15" s="9" t="s">
        <v>33</v>
      </c>
      <c r="B15" s="17" t="s">
        <v>273</v>
      </c>
      <c r="C15" s="18" t="s">
        <v>274</v>
      </c>
      <c r="D15" s="19" t="s">
        <v>275</v>
      </c>
      <c r="E15" s="20" t="s">
        <v>276</v>
      </c>
      <c r="F15" s="21" t="s">
        <v>277</v>
      </c>
    </row>
    <row r="16" customFormat="false" ht="57.75" hidden="false" customHeight="true" outlineLevel="0" collapsed="false">
      <c r="A16" s="11" t="s">
        <v>39</v>
      </c>
      <c r="B16" s="22" t="s">
        <v>278</v>
      </c>
      <c r="C16" s="18" t="s">
        <v>279</v>
      </c>
      <c r="D16" s="19" t="s">
        <v>280</v>
      </c>
      <c r="E16" s="20" t="s">
        <v>281</v>
      </c>
      <c r="F16" s="21" t="s">
        <v>282</v>
      </c>
    </row>
    <row r="17" customFormat="false" ht="57.75" hidden="false" customHeight="true" outlineLevel="0" collapsed="false">
      <c r="A17" s="9" t="s">
        <v>45</v>
      </c>
      <c r="B17" s="17" t="s">
        <v>283</v>
      </c>
      <c r="C17" s="18" t="s">
        <v>284</v>
      </c>
      <c r="D17" s="19" t="s">
        <v>285</v>
      </c>
      <c r="E17" s="20" t="s">
        <v>286</v>
      </c>
      <c r="F17" s="21" t="s">
        <v>287</v>
      </c>
    </row>
    <row r="18" customFormat="false" ht="18" hidden="false" customHeight="true" outlineLevel="0" collapsed="false">
      <c r="A18" s="8" t="s">
        <v>288</v>
      </c>
      <c r="B18" s="8"/>
      <c r="C18" s="8"/>
      <c r="D18" s="8"/>
      <c r="E18" s="8"/>
      <c r="F18" s="8"/>
    </row>
    <row r="19" customFormat="false" ht="57.75" hidden="false" customHeight="true" outlineLevel="0" collapsed="false">
      <c r="A19" s="9" t="s">
        <v>51</v>
      </c>
      <c r="B19" s="17" t="s">
        <v>289</v>
      </c>
      <c r="C19" s="18" t="s">
        <v>290</v>
      </c>
      <c r="D19" s="19" t="s">
        <v>291</v>
      </c>
      <c r="E19" s="20" t="s">
        <v>292</v>
      </c>
      <c r="F19" s="21" t="s">
        <v>293</v>
      </c>
    </row>
    <row r="20" customFormat="false" ht="57.75" hidden="false" customHeight="true" outlineLevel="0" collapsed="false">
      <c r="A20" s="11" t="s">
        <v>56</v>
      </c>
      <c r="B20" s="22" t="s">
        <v>294</v>
      </c>
      <c r="C20" s="18" t="s">
        <v>295</v>
      </c>
      <c r="D20" s="19" t="s">
        <v>296</v>
      </c>
      <c r="E20" s="20" t="s">
        <v>297</v>
      </c>
      <c r="F20" s="21" t="s">
        <v>298</v>
      </c>
    </row>
    <row r="21" customFormat="false" ht="57.75" hidden="false" customHeight="true" outlineLevel="0" collapsed="false">
      <c r="A21" s="9" t="s">
        <v>61</v>
      </c>
      <c r="B21" s="17" t="s">
        <v>299</v>
      </c>
      <c r="C21" s="18" t="s">
        <v>300</v>
      </c>
      <c r="D21" s="19" t="s">
        <v>301</v>
      </c>
      <c r="E21" s="20" t="s">
        <v>302</v>
      </c>
      <c r="F21" s="21" t="s">
        <v>303</v>
      </c>
    </row>
    <row r="22" customFormat="false" ht="18" hidden="false" customHeight="true" outlineLevel="0" collapsed="false">
      <c r="A22" s="8" t="s">
        <v>304</v>
      </c>
      <c r="B22" s="8"/>
      <c r="C22" s="8"/>
      <c r="D22" s="8"/>
      <c r="E22" s="8"/>
      <c r="F22" s="8"/>
    </row>
    <row r="23" customFormat="false" ht="57.75" hidden="false" customHeight="true" outlineLevel="0" collapsed="false">
      <c r="A23" s="9" t="s">
        <v>66</v>
      </c>
      <c r="B23" s="17" t="s">
        <v>305</v>
      </c>
      <c r="C23" s="18" t="s">
        <v>306</v>
      </c>
      <c r="D23" s="19" t="s">
        <v>307</v>
      </c>
      <c r="E23" s="20" t="s">
        <v>308</v>
      </c>
      <c r="F23" s="21" t="s">
        <v>309</v>
      </c>
    </row>
    <row r="24" customFormat="false" ht="57.75" hidden="false" customHeight="true" outlineLevel="0" collapsed="false">
      <c r="A24" s="11" t="s">
        <v>72</v>
      </c>
      <c r="B24" s="22" t="s">
        <v>310</v>
      </c>
      <c r="C24" s="18" t="s">
        <v>311</v>
      </c>
      <c r="D24" s="19" t="s">
        <v>312</v>
      </c>
      <c r="E24" s="20" t="s">
        <v>313</v>
      </c>
      <c r="F24" s="21" t="s">
        <v>314</v>
      </c>
    </row>
    <row r="25" customFormat="false" ht="18" hidden="false" customHeight="true" outlineLevel="0" collapsed="false">
      <c r="A25" s="8" t="s">
        <v>315</v>
      </c>
      <c r="B25" s="8"/>
      <c r="C25" s="8"/>
      <c r="D25" s="8"/>
      <c r="E25" s="8"/>
      <c r="F25" s="8"/>
    </row>
    <row r="26" customFormat="false" ht="57.75" hidden="false" customHeight="true" outlineLevel="0" collapsed="false">
      <c r="A26" s="9" t="s">
        <v>77</v>
      </c>
      <c r="B26" s="17" t="s">
        <v>316</v>
      </c>
      <c r="C26" s="18" t="s">
        <v>317</v>
      </c>
      <c r="D26" s="19" t="s">
        <v>318</v>
      </c>
      <c r="E26" s="20" t="s">
        <v>319</v>
      </c>
      <c r="F26" s="21" t="s">
        <v>320</v>
      </c>
    </row>
    <row r="27" customFormat="false" ht="57.75" hidden="false" customHeight="true" outlineLevel="0" collapsed="false">
      <c r="A27" s="11" t="s">
        <v>81</v>
      </c>
      <c r="B27" s="22" t="s">
        <v>321</v>
      </c>
      <c r="C27" s="18" t="s">
        <v>322</v>
      </c>
      <c r="D27" s="19" t="s">
        <v>323</v>
      </c>
      <c r="E27" s="20" t="s">
        <v>324</v>
      </c>
      <c r="F27" s="21" t="s">
        <v>325</v>
      </c>
    </row>
    <row r="28" customFormat="false" ht="18" hidden="false" customHeight="true" outlineLevel="0" collapsed="false">
      <c r="A28" s="8" t="s">
        <v>326</v>
      </c>
      <c r="B28" s="8"/>
      <c r="C28" s="8"/>
      <c r="D28" s="8"/>
      <c r="E28" s="8"/>
      <c r="F28" s="8"/>
    </row>
    <row r="29" customFormat="false" ht="57.75" hidden="false" customHeight="true" outlineLevel="0" collapsed="false">
      <c r="A29" s="9" t="s">
        <v>86</v>
      </c>
      <c r="B29" s="17" t="s">
        <v>327</v>
      </c>
      <c r="C29" s="18" t="s">
        <v>328</v>
      </c>
      <c r="D29" s="19" t="s">
        <v>329</v>
      </c>
      <c r="E29" s="20" t="s">
        <v>330</v>
      </c>
      <c r="F29" s="21" t="s">
        <v>331</v>
      </c>
    </row>
    <row r="30" customFormat="false" ht="57.75" hidden="false" customHeight="true" outlineLevel="0" collapsed="false">
      <c r="A30" s="11" t="s">
        <v>91</v>
      </c>
      <c r="B30" s="22" t="s">
        <v>332</v>
      </c>
      <c r="C30" s="18" t="s">
        <v>333</v>
      </c>
      <c r="D30" s="19" t="s">
        <v>334</v>
      </c>
      <c r="E30" s="20" t="s">
        <v>335</v>
      </c>
      <c r="F30" s="21" t="s">
        <v>336</v>
      </c>
    </row>
    <row r="31" customFormat="false" ht="18" hidden="false" customHeight="true" outlineLevel="0" collapsed="false">
      <c r="A31" s="8" t="s">
        <v>337</v>
      </c>
      <c r="B31" s="8"/>
      <c r="C31" s="8"/>
      <c r="D31" s="8"/>
      <c r="E31" s="8"/>
      <c r="F31" s="8"/>
    </row>
    <row r="32" customFormat="false" ht="57.75" hidden="false" customHeight="true" outlineLevel="0" collapsed="false">
      <c r="A32" s="9" t="s">
        <v>97</v>
      </c>
      <c r="B32" s="17" t="s">
        <v>338</v>
      </c>
      <c r="C32" s="18" t="s">
        <v>339</v>
      </c>
      <c r="D32" s="19" t="s">
        <v>340</v>
      </c>
      <c r="E32" s="20" t="s">
        <v>341</v>
      </c>
      <c r="F32" s="21" t="s">
        <v>342</v>
      </c>
    </row>
    <row r="33" customFormat="false" ht="57.75" hidden="false" customHeight="true" outlineLevel="0" collapsed="false">
      <c r="A33" s="11" t="s">
        <v>102</v>
      </c>
      <c r="B33" s="22" t="s">
        <v>343</v>
      </c>
      <c r="C33" s="18" t="s">
        <v>344</v>
      </c>
      <c r="D33" s="19" t="s">
        <v>345</v>
      </c>
      <c r="E33" s="20" t="s">
        <v>346</v>
      </c>
      <c r="F33" s="21" t="s">
        <v>347</v>
      </c>
    </row>
  </sheetData>
  <mergeCells count="10">
    <mergeCell ref="A1:F1"/>
    <mergeCell ref="A2:F2"/>
    <mergeCell ref="A3:F3"/>
    <mergeCell ref="A12:F12"/>
    <mergeCell ref="A14:F14"/>
    <mergeCell ref="A18:F18"/>
    <mergeCell ref="A22:F22"/>
    <mergeCell ref="A25:F25"/>
    <mergeCell ref="A28:F28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37.5" hidden="false" customHeight="true" outlineLevel="0" collapsed="false">
      <c r="A1" s="1" t="s">
        <v>348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349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350</v>
      </c>
      <c r="B3" s="3"/>
      <c r="C3" s="3"/>
      <c r="D3" s="3"/>
      <c r="E3" s="3"/>
    </row>
    <row r="4" customFormat="false" ht="18" hidden="false" customHeight="true" outlineLevel="0" collapsed="false">
      <c r="A4" s="5" t="s">
        <v>351</v>
      </c>
      <c r="B4" s="5"/>
      <c r="C4" s="5"/>
      <c r="D4" s="5"/>
      <c r="E4" s="5"/>
    </row>
    <row r="5" customFormat="false" ht="18" hidden="false" customHeight="true" outlineLevel="0" collapsed="false">
      <c r="A5" s="5" t="s">
        <v>352</v>
      </c>
      <c r="B5" s="5"/>
      <c r="C5" s="5"/>
      <c r="D5" s="5"/>
      <c r="E5" s="5"/>
    </row>
    <row r="6" customFormat="false" ht="18" hidden="false" customHeight="true" outlineLevel="0" collapsed="false">
      <c r="A6" s="5" t="s">
        <v>353</v>
      </c>
      <c r="B6" s="5"/>
      <c r="C6" s="5"/>
      <c r="D6" s="5"/>
      <c r="E6" s="5"/>
    </row>
    <row r="7" customFormat="false" ht="18" hidden="false" customHeight="true" outlineLevel="0" collapsed="false">
      <c r="A7" s="5" t="s">
        <v>354</v>
      </c>
      <c r="B7" s="5"/>
      <c r="C7" s="5"/>
      <c r="D7" s="5"/>
      <c r="E7" s="5"/>
    </row>
    <row r="8" customFormat="false" ht="19.5" hidden="false" customHeight="true" outlineLevel="0" collapsed="false">
      <c r="A8" s="14" t="s">
        <v>355</v>
      </c>
      <c r="B8" s="14"/>
      <c r="C8" s="14"/>
      <c r="D8" s="14"/>
      <c r="E8" s="14"/>
    </row>
    <row r="9" customFormat="false" ht="24" hidden="false" customHeight="true" outlineLevel="0" collapsed="false">
      <c r="A9" s="7" t="s">
        <v>26</v>
      </c>
      <c r="B9" s="7" t="s">
        <v>356</v>
      </c>
      <c r="C9" s="7" t="s">
        <v>357</v>
      </c>
      <c r="D9" s="7" t="s">
        <v>358</v>
      </c>
      <c r="E9" s="7" t="s">
        <v>359</v>
      </c>
    </row>
    <row r="10" customFormat="false" ht="18" hidden="false" customHeight="true" outlineLevel="0" collapsed="false">
      <c r="A10" s="8" t="s">
        <v>360</v>
      </c>
      <c r="B10" s="8"/>
      <c r="C10" s="8"/>
      <c r="D10" s="8"/>
      <c r="E10" s="8"/>
    </row>
    <row r="11" customFormat="false" ht="30" hidden="false" customHeight="true" outlineLevel="0" collapsed="false">
      <c r="A11" s="9" t="s">
        <v>33</v>
      </c>
      <c r="B11" s="5" t="s">
        <v>361</v>
      </c>
      <c r="C11" s="5"/>
      <c r="D11" s="10"/>
      <c r="E11" s="5"/>
    </row>
    <row r="12" customFormat="false" ht="30" hidden="false" customHeight="true" outlineLevel="0" collapsed="false">
      <c r="A12" s="11" t="s">
        <v>39</v>
      </c>
      <c r="B12" s="12" t="s">
        <v>362</v>
      </c>
      <c r="C12" s="12"/>
      <c r="D12" s="13"/>
      <c r="E12" s="12"/>
    </row>
    <row r="13" customFormat="false" ht="30" hidden="false" customHeight="true" outlineLevel="0" collapsed="false">
      <c r="A13" s="9" t="s">
        <v>45</v>
      </c>
      <c r="B13" s="5" t="s">
        <v>363</v>
      </c>
      <c r="C13" s="5"/>
      <c r="D13" s="10"/>
      <c r="E13" s="5"/>
    </row>
    <row r="14" customFormat="false" ht="19.5" hidden="false" customHeight="true" outlineLevel="0" collapsed="false">
      <c r="A14" s="11" t="s">
        <v>364</v>
      </c>
      <c r="B14" s="22" t="s">
        <v>365</v>
      </c>
      <c r="C14" s="13"/>
      <c r="D14" s="11" t="s">
        <v>366</v>
      </c>
      <c r="E14" s="12"/>
    </row>
    <row r="15" customFormat="false" ht="18" hidden="false" customHeight="true" outlineLevel="0" collapsed="false">
      <c r="A15" s="8" t="s">
        <v>367</v>
      </c>
      <c r="B15" s="8"/>
      <c r="C15" s="8"/>
      <c r="D15" s="8"/>
      <c r="E15" s="8"/>
    </row>
    <row r="16" customFormat="false" ht="30" hidden="false" customHeight="true" outlineLevel="0" collapsed="false">
      <c r="A16" s="9" t="s">
        <v>51</v>
      </c>
      <c r="B16" s="5" t="s">
        <v>368</v>
      </c>
      <c r="C16" s="5"/>
      <c r="D16" s="10"/>
      <c r="E16" s="5"/>
    </row>
    <row r="17" customFormat="false" ht="30" hidden="false" customHeight="true" outlineLevel="0" collapsed="false">
      <c r="A17" s="11" t="s">
        <v>56</v>
      </c>
      <c r="B17" s="12" t="s">
        <v>369</v>
      </c>
      <c r="C17" s="12"/>
      <c r="D17" s="13"/>
      <c r="E17" s="12"/>
    </row>
    <row r="18" customFormat="false" ht="30" hidden="false" customHeight="true" outlineLevel="0" collapsed="false">
      <c r="A18" s="9" t="s">
        <v>61</v>
      </c>
      <c r="B18" s="5" t="s">
        <v>370</v>
      </c>
      <c r="C18" s="5"/>
      <c r="D18" s="10"/>
      <c r="E18" s="5"/>
    </row>
    <row r="19" customFormat="false" ht="19.5" hidden="false" customHeight="true" outlineLevel="0" collapsed="false">
      <c r="A19" s="11" t="s">
        <v>364</v>
      </c>
      <c r="B19" s="22" t="s">
        <v>371</v>
      </c>
      <c r="C19" s="13"/>
      <c r="D19" s="11" t="s">
        <v>366</v>
      </c>
      <c r="E19" s="12"/>
    </row>
    <row r="20" customFormat="false" ht="18" hidden="false" customHeight="true" outlineLevel="0" collapsed="false">
      <c r="A20" s="8" t="s">
        <v>372</v>
      </c>
      <c r="B20" s="8"/>
      <c r="C20" s="8"/>
      <c r="D20" s="8"/>
      <c r="E20" s="8"/>
    </row>
    <row r="21" customFormat="false" ht="30" hidden="false" customHeight="true" outlineLevel="0" collapsed="false">
      <c r="A21" s="9" t="s">
        <v>66</v>
      </c>
      <c r="B21" s="5" t="s">
        <v>373</v>
      </c>
      <c r="C21" s="5"/>
      <c r="D21" s="10"/>
      <c r="E21" s="5"/>
    </row>
    <row r="22" customFormat="false" ht="30" hidden="false" customHeight="true" outlineLevel="0" collapsed="false">
      <c r="A22" s="11" t="s">
        <v>72</v>
      </c>
      <c r="B22" s="12" t="s">
        <v>374</v>
      </c>
      <c r="C22" s="12"/>
      <c r="D22" s="13"/>
      <c r="E22" s="12"/>
    </row>
    <row r="23" customFormat="false" ht="19.5" hidden="false" customHeight="true" outlineLevel="0" collapsed="false">
      <c r="A23" s="11" t="s">
        <v>364</v>
      </c>
      <c r="B23" s="22" t="s">
        <v>375</v>
      </c>
      <c r="C23" s="13"/>
      <c r="D23" s="11" t="s">
        <v>366</v>
      </c>
      <c r="E23" s="12"/>
    </row>
    <row r="24" customFormat="false" ht="18" hidden="false" customHeight="true" outlineLevel="0" collapsed="false">
      <c r="A24" s="8" t="s">
        <v>376</v>
      </c>
      <c r="B24" s="8"/>
      <c r="C24" s="8"/>
      <c r="D24" s="8"/>
      <c r="E24" s="8"/>
    </row>
    <row r="25" customFormat="false" ht="30" hidden="false" customHeight="true" outlineLevel="0" collapsed="false">
      <c r="A25" s="9" t="s">
        <v>77</v>
      </c>
      <c r="B25" s="5" t="s">
        <v>377</v>
      </c>
      <c r="C25" s="5"/>
      <c r="D25" s="10"/>
      <c r="E25" s="5"/>
    </row>
    <row r="26" customFormat="false" ht="30" hidden="false" customHeight="true" outlineLevel="0" collapsed="false">
      <c r="A26" s="11" t="s">
        <v>81</v>
      </c>
      <c r="B26" s="12" t="s">
        <v>378</v>
      </c>
      <c r="C26" s="12"/>
      <c r="D26" s="13"/>
      <c r="E26" s="12"/>
    </row>
    <row r="27" customFormat="false" ht="19.5" hidden="false" customHeight="true" outlineLevel="0" collapsed="false">
      <c r="A27" s="11" t="s">
        <v>364</v>
      </c>
      <c r="B27" s="22" t="s">
        <v>379</v>
      </c>
      <c r="C27" s="13"/>
      <c r="D27" s="11" t="s">
        <v>366</v>
      </c>
      <c r="E27" s="12"/>
    </row>
    <row r="28" customFormat="false" ht="18" hidden="false" customHeight="true" outlineLevel="0" collapsed="false">
      <c r="A28" s="8" t="s">
        <v>380</v>
      </c>
      <c r="B28" s="8"/>
      <c r="C28" s="8"/>
      <c r="D28" s="8"/>
      <c r="E28" s="8"/>
    </row>
    <row r="29" customFormat="false" ht="30" hidden="false" customHeight="true" outlineLevel="0" collapsed="false">
      <c r="A29" s="9" t="s">
        <v>86</v>
      </c>
      <c r="B29" s="5" t="s">
        <v>381</v>
      </c>
      <c r="C29" s="5"/>
      <c r="D29" s="10"/>
      <c r="E29" s="5"/>
    </row>
    <row r="30" customFormat="false" ht="30" hidden="false" customHeight="true" outlineLevel="0" collapsed="false">
      <c r="A30" s="11" t="s">
        <v>91</v>
      </c>
      <c r="B30" s="12" t="s">
        <v>382</v>
      </c>
      <c r="C30" s="12"/>
      <c r="D30" s="13"/>
      <c r="E30" s="12"/>
    </row>
    <row r="31" customFormat="false" ht="19.5" hidden="false" customHeight="true" outlineLevel="0" collapsed="false">
      <c r="A31" s="11" t="s">
        <v>364</v>
      </c>
      <c r="B31" s="22" t="s">
        <v>383</v>
      </c>
      <c r="C31" s="13"/>
      <c r="D31" s="11" t="s">
        <v>366</v>
      </c>
      <c r="E31" s="12"/>
    </row>
    <row r="32" customFormat="false" ht="18" hidden="false" customHeight="true" outlineLevel="0" collapsed="false">
      <c r="A32" s="8" t="s">
        <v>384</v>
      </c>
      <c r="B32" s="8"/>
      <c r="C32" s="8"/>
      <c r="D32" s="8"/>
      <c r="E32" s="8"/>
    </row>
    <row r="33" customFormat="false" ht="30" hidden="false" customHeight="true" outlineLevel="0" collapsed="false">
      <c r="A33" s="9" t="s">
        <v>97</v>
      </c>
      <c r="B33" s="5" t="s">
        <v>385</v>
      </c>
      <c r="C33" s="5"/>
      <c r="D33" s="10"/>
      <c r="E33" s="5"/>
    </row>
    <row r="34" customFormat="false" ht="30" hidden="false" customHeight="true" outlineLevel="0" collapsed="false">
      <c r="A34" s="11" t="s">
        <v>102</v>
      </c>
      <c r="B34" s="12" t="s">
        <v>386</v>
      </c>
      <c r="C34" s="12"/>
      <c r="D34" s="13"/>
      <c r="E34" s="12"/>
    </row>
    <row r="35" customFormat="false" ht="19.5" hidden="false" customHeight="true" outlineLevel="0" collapsed="false">
      <c r="A35" s="11" t="s">
        <v>364</v>
      </c>
      <c r="B35" s="22" t="s">
        <v>387</v>
      </c>
      <c r="C35" s="13"/>
      <c r="D35" s="11" t="s">
        <v>366</v>
      </c>
      <c r="E35" s="12"/>
    </row>
    <row r="36" customFormat="false" ht="19.5" hidden="false" customHeight="true" outlineLevel="0" collapsed="false">
      <c r="A36" s="3" t="s">
        <v>388</v>
      </c>
      <c r="B36" s="3"/>
      <c r="C36" s="3"/>
      <c r="D36" s="3"/>
      <c r="E36" s="3"/>
    </row>
    <row r="37" customFormat="false" ht="19.5" hidden="false" customHeight="true" outlineLevel="0" collapsed="false">
      <c r="A37" s="23" t="s">
        <v>389</v>
      </c>
      <c r="B37" s="23"/>
      <c r="C37" s="23"/>
      <c r="D37" s="23"/>
      <c r="E37" s="23"/>
    </row>
    <row r="38" customFormat="false" ht="18" hidden="false" customHeight="true" outlineLevel="0" collapsed="false">
      <c r="A38" s="5" t="s">
        <v>390</v>
      </c>
      <c r="B38" s="5"/>
      <c r="C38" s="5"/>
      <c r="D38" s="5"/>
      <c r="E38" s="5"/>
    </row>
    <row r="39" customFormat="false" ht="21.75" hidden="false" customHeight="true" outlineLevel="0" collapsed="false">
      <c r="A39" s="5" t="s">
        <v>391</v>
      </c>
      <c r="B39" s="5"/>
      <c r="C39" s="5"/>
      <c r="D39" s="5"/>
      <c r="E39" s="5"/>
    </row>
    <row r="40" customFormat="false" ht="21.75" hidden="false" customHeight="true" outlineLevel="0" collapsed="false">
      <c r="A40" s="5" t="s">
        <v>392</v>
      </c>
      <c r="B40" s="5"/>
      <c r="C40" s="5"/>
      <c r="D40" s="5"/>
      <c r="E40" s="5"/>
    </row>
    <row r="41" customFormat="false" ht="21.75" hidden="false" customHeight="true" outlineLevel="0" collapsed="false">
      <c r="A41" s="5" t="s">
        <v>393</v>
      </c>
      <c r="B41" s="5"/>
      <c r="C41" s="5"/>
      <c r="D41" s="5"/>
      <c r="E41" s="5"/>
    </row>
    <row r="42" customFormat="false" ht="19.5" hidden="false" customHeight="true" outlineLevel="0" collapsed="false">
      <c r="A42" s="16" t="s">
        <v>394</v>
      </c>
      <c r="B42" s="16"/>
      <c r="C42" s="16"/>
      <c r="D42" s="16"/>
      <c r="E42" s="16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10:E10"/>
    <mergeCell ref="A15:E15"/>
    <mergeCell ref="A20:E20"/>
    <mergeCell ref="A24:E24"/>
    <mergeCell ref="A28:E28"/>
    <mergeCell ref="A32:E32"/>
    <mergeCell ref="A36:E36"/>
    <mergeCell ref="A37:E37"/>
    <mergeCell ref="A38:E38"/>
    <mergeCell ref="A39:E39"/>
    <mergeCell ref="A40:E40"/>
    <mergeCell ref="A41:E41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24"/>
  </cols>
  <sheetData>
    <row r="1" customFormat="false" ht="37.5" hidden="false" customHeight="true" outlineLevel="0" collapsed="false">
      <c r="A1" s="1" t="s">
        <v>395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396</v>
      </c>
      <c r="B2" s="2"/>
      <c r="C2" s="2"/>
      <c r="D2" s="2"/>
      <c r="E2" s="2"/>
    </row>
    <row r="3" customFormat="false" ht="39.75" hidden="false" customHeight="true" outlineLevel="0" collapsed="false">
      <c r="A3" s="6" t="s">
        <v>397</v>
      </c>
      <c r="B3" s="6"/>
      <c r="C3" s="6"/>
      <c r="D3" s="6"/>
      <c r="E3" s="6"/>
    </row>
    <row r="4" customFormat="false" ht="24" hidden="false" customHeight="true" outlineLevel="0" collapsed="false">
      <c r="A4" s="7" t="s">
        <v>26</v>
      </c>
      <c r="B4" s="7" t="s">
        <v>398</v>
      </c>
      <c r="C4" s="7" t="s">
        <v>399</v>
      </c>
      <c r="D4" s="7" t="s">
        <v>400</v>
      </c>
      <c r="E4" s="7" t="s">
        <v>401</v>
      </c>
    </row>
    <row r="5" customFormat="false" ht="18" hidden="false" customHeight="true" outlineLevel="0" collapsed="false">
      <c r="A5" s="8" t="s">
        <v>402</v>
      </c>
      <c r="B5" s="8"/>
      <c r="C5" s="8"/>
      <c r="D5" s="8"/>
      <c r="E5" s="8"/>
    </row>
    <row r="6" customFormat="false" ht="72" hidden="false" customHeight="true" outlineLevel="0" collapsed="false">
      <c r="A6" s="9" t="s">
        <v>112</v>
      </c>
      <c r="B6" s="5" t="s">
        <v>403</v>
      </c>
      <c r="C6" s="5" t="s">
        <v>404</v>
      </c>
      <c r="D6" s="10"/>
      <c r="E6" s="5"/>
    </row>
    <row r="7" customFormat="false" ht="72" hidden="false" customHeight="true" outlineLevel="0" collapsed="false">
      <c r="A7" s="11" t="s">
        <v>118</v>
      </c>
      <c r="B7" s="12" t="s">
        <v>405</v>
      </c>
      <c r="C7" s="12" t="s">
        <v>406</v>
      </c>
      <c r="D7" s="13"/>
      <c r="E7" s="12"/>
    </row>
    <row r="8" customFormat="false" ht="18" hidden="false" customHeight="true" outlineLevel="0" collapsed="false">
      <c r="A8" s="8" t="s">
        <v>407</v>
      </c>
      <c r="B8" s="8"/>
      <c r="C8" s="8"/>
      <c r="D8" s="8"/>
      <c r="E8" s="8"/>
    </row>
    <row r="9" customFormat="false" ht="72" hidden="false" customHeight="true" outlineLevel="0" collapsed="false">
      <c r="A9" s="9" t="s">
        <v>124</v>
      </c>
      <c r="B9" s="5" t="s">
        <v>408</v>
      </c>
      <c r="C9" s="5" t="s">
        <v>409</v>
      </c>
      <c r="D9" s="10"/>
      <c r="E9" s="5"/>
    </row>
    <row r="10" customFormat="false" ht="72" hidden="false" customHeight="true" outlineLevel="0" collapsed="false">
      <c r="A10" s="11" t="s">
        <v>130</v>
      </c>
      <c r="B10" s="12" t="s">
        <v>410</v>
      </c>
      <c r="C10" s="12" t="s">
        <v>411</v>
      </c>
      <c r="D10" s="13"/>
      <c r="E10" s="12"/>
    </row>
    <row r="11" customFormat="false" ht="18" hidden="false" customHeight="true" outlineLevel="0" collapsed="false">
      <c r="A11" s="8" t="s">
        <v>412</v>
      </c>
      <c r="B11" s="8"/>
      <c r="C11" s="8"/>
      <c r="D11" s="8"/>
      <c r="E11" s="8"/>
    </row>
    <row r="12" customFormat="false" ht="72" hidden="false" customHeight="true" outlineLevel="0" collapsed="false">
      <c r="A12" s="9" t="s">
        <v>136</v>
      </c>
      <c r="B12" s="5" t="s">
        <v>413</v>
      </c>
      <c r="C12" s="5" t="s">
        <v>414</v>
      </c>
      <c r="D12" s="10"/>
      <c r="E12" s="5"/>
    </row>
    <row r="13" customFormat="false" ht="72" hidden="false" customHeight="true" outlineLevel="0" collapsed="false">
      <c r="A13" s="11" t="s">
        <v>142</v>
      </c>
      <c r="B13" s="12" t="s">
        <v>415</v>
      </c>
      <c r="C13" s="12" t="s">
        <v>416</v>
      </c>
      <c r="D13" s="13"/>
      <c r="E13" s="12"/>
    </row>
    <row r="14" customFormat="false" ht="18" hidden="false" customHeight="true" outlineLevel="0" collapsed="false">
      <c r="A14" s="8" t="s">
        <v>417</v>
      </c>
      <c r="B14" s="8"/>
      <c r="C14" s="8"/>
      <c r="D14" s="8"/>
      <c r="E14" s="8"/>
    </row>
    <row r="15" customFormat="false" ht="72" hidden="false" customHeight="true" outlineLevel="0" collapsed="false">
      <c r="A15" s="9" t="s">
        <v>418</v>
      </c>
      <c r="B15" s="5" t="s">
        <v>419</v>
      </c>
      <c r="C15" s="5" t="s">
        <v>420</v>
      </c>
      <c r="D15" s="10"/>
      <c r="E15" s="5"/>
    </row>
    <row r="16" customFormat="false" ht="72" hidden="false" customHeight="true" outlineLevel="0" collapsed="false">
      <c r="A16" s="11" t="s">
        <v>421</v>
      </c>
      <c r="B16" s="12" t="s">
        <v>422</v>
      </c>
      <c r="C16" s="12" t="s">
        <v>423</v>
      </c>
      <c r="D16" s="13"/>
      <c r="E16" s="12"/>
    </row>
  </sheetData>
  <mergeCells count="7">
    <mergeCell ref="A1:E1"/>
    <mergeCell ref="A2:E2"/>
    <mergeCell ref="A3:E3"/>
    <mergeCell ref="A5:E5"/>
    <mergeCell ref="A8:E8"/>
    <mergeCell ref="A11:E11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30"/>
  </cols>
  <sheetData>
    <row r="1" customFormat="false" ht="37.5" hidden="false" customHeight="true" outlineLevel="0" collapsed="false">
      <c r="A1" s="1" t="s">
        <v>424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425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426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5" t="s">
        <v>427</v>
      </c>
      <c r="B4" s="5"/>
      <c r="C4" s="5"/>
      <c r="D4" s="5"/>
      <c r="E4" s="5"/>
      <c r="F4" s="5"/>
    </row>
    <row r="5" customFormat="false" ht="18" hidden="false" customHeight="true" outlineLevel="0" collapsed="false">
      <c r="A5" s="5" t="s">
        <v>428</v>
      </c>
      <c r="B5" s="5"/>
      <c r="C5" s="5"/>
      <c r="D5" s="5"/>
      <c r="E5" s="5"/>
      <c r="F5" s="5"/>
    </row>
    <row r="6" customFormat="false" ht="18" hidden="false" customHeight="true" outlineLevel="0" collapsed="false">
      <c r="A6" s="5" t="s">
        <v>429</v>
      </c>
      <c r="B6" s="5"/>
      <c r="C6" s="5"/>
      <c r="D6" s="5"/>
      <c r="E6" s="5"/>
      <c r="F6" s="5"/>
    </row>
    <row r="7" customFormat="false" ht="18" hidden="false" customHeight="true" outlineLevel="0" collapsed="false">
      <c r="A7" s="5" t="s">
        <v>430</v>
      </c>
      <c r="B7" s="5"/>
      <c r="C7" s="5"/>
      <c r="D7" s="5"/>
      <c r="E7" s="5"/>
      <c r="F7" s="5"/>
    </row>
    <row r="8" customFormat="false" ht="19.5" hidden="false" customHeight="true" outlineLevel="0" collapsed="false">
      <c r="A8" s="3" t="s">
        <v>431</v>
      </c>
      <c r="B8" s="3"/>
      <c r="C8" s="3"/>
      <c r="D8" s="3"/>
      <c r="E8" s="3"/>
      <c r="F8" s="3"/>
    </row>
    <row r="9" customFormat="false" ht="24" hidden="false" customHeight="true" outlineLevel="0" collapsed="false">
      <c r="A9" s="7" t="s">
        <v>257</v>
      </c>
      <c r="B9" s="7" t="s">
        <v>108</v>
      </c>
      <c r="C9" s="7" t="s">
        <v>400</v>
      </c>
      <c r="D9" s="7" t="s">
        <v>432</v>
      </c>
      <c r="E9" s="7" t="s">
        <v>433</v>
      </c>
      <c r="F9" s="7" t="s">
        <v>434</v>
      </c>
    </row>
    <row r="10" customFormat="false" ht="21.75" hidden="false" customHeight="true" outlineLevel="0" collapsed="false">
      <c r="A10" s="17" t="s">
        <v>435</v>
      </c>
      <c r="B10" s="10" t="s">
        <v>114</v>
      </c>
      <c r="C10" s="10"/>
      <c r="D10" s="10" t="str">
        <f aca="false">IF(C10="","",C10*0.28)</f>
        <v/>
      </c>
      <c r="E10" s="10" t="s">
        <v>436</v>
      </c>
      <c r="F10" s="5"/>
    </row>
    <row r="11" customFormat="false" ht="21.75" hidden="false" customHeight="true" outlineLevel="0" collapsed="false">
      <c r="A11" s="22" t="s">
        <v>437</v>
      </c>
      <c r="B11" s="13" t="s">
        <v>178</v>
      </c>
      <c r="C11" s="13"/>
      <c r="D11" s="13" t="str">
        <f aca="false">IF(C11="","",C11*0.22)</f>
        <v/>
      </c>
      <c r="E11" s="13" t="s">
        <v>436</v>
      </c>
      <c r="F11" s="12"/>
    </row>
    <row r="12" customFormat="false" ht="21.75" hidden="false" customHeight="true" outlineLevel="0" collapsed="false">
      <c r="A12" s="17" t="s">
        <v>438</v>
      </c>
      <c r="B12" s="10" t="s">
        <v>132</v>
      </c>
      <c r="C12" s="10"/>
      <c r="D12" s="10" t="str">
        <f aca="false">IF(C12="","",C12*0.15)</f>
        <v/>
      </c>
      <c r="E12" s="10" t="s">
        <v>436</v>
      </c>
      <c r="F12" s="5"/>
    </row>
    <row r="13" customFormat="false" ht="21.75" hidden="false" customHeight="true" outlineLevel="0" collapsed="false">
      <c r="A13" s="22" t="s">
        <v>439</v>
      </c>
      <c r="B13" s="13" t="s">
        <v>185</v>
      </c>
      <c r="C13" s="13"/>
      <c r="D13" s="13" t="str">
        <f aca="false">IF(C13="","",C13*0.13)</f>
        <v/>
      </c>
      <c r="E13" s="13" t="s">
        <v>436</v>
      </c>
      <c r="F13" s="12"/>
    </row>
    <row r="14" customFormat="false" ht="21.75" hidden="false" customHeight="true" outlineLevel="0" collapsed="false">
      <c r="A14" s="17" t="s">
        <v>440</v>
      </c>
      <c r="B14" s="10" t="s">
        <v>138</v>
      </c>
      <c r="C14" s="10"/>
      <c r="D14" s="10" t="str">
        <f aca="false">IF(C14="","",C14*0.12)</f>
        <v/>
      </c>
      <c r="E14" s="10" t="s">
        <v>436</v>
      </c>
      <c r="F14" s="5"/>
    </row>
    <row r="15" customFormat="false" ht="21.75" hidden="false" customHeight="true" outlineLevel="0" collapsed="false">
      <c r="A15" s="22" t="s">
        <v>441</v>
      </c>
      <c r="B15" s="13" t="s">
        <v>144</v>
      </c>
      <c r="C15" s="13"/>
      <c r="D15" s="13" t="str">
        <f aca="false">IF(C15="","",C15*0.1)</f>
        <v/>
      </c>
      <c r="E15" s="13" t="s">
        <v>436</v>
      </c>
      <c r="F15" s="12"/>
    </row>
    <row r="16" customFormat="false" ht="21.75" hidden="false" customHeight="true" outlineLevel="0" collapsed="false">
      <c r="A16" s="14" t="s">
        <v>442</v>
      </c>
      <c r="B16" s="8"/>
      <c r="C16" s="8"/>
      <c r="D16" s="7" t="n">
        <f aca="false">SUM(D10:D15)</f>
        <v>0</v>
      </c>
      <c r="E16" s="8"/>
      <c r="F16" s="8"/>
    </row>
    <row r="17" customFormat="false" ht="19.5" hidden="false" customHeight="true" outlineLevel="0" collapsed="false">
      <c r="A17" s="3" t="s">
        <v>443</v>
      </c>
      <c r="B17" s="3"/>
      <c r="C17" s="3"/>
      <c r="D17" s="3"/>
      <c r="E17" s="3"/>
      <c r="F17" s="3"/>
    </row>
    <row r="18" customFormat="false" ht="19.5" hidden="false" customHeight="true" outlineLevel="0" collapsed="false">
      <c r="A18" s="5" t="s">
        <v>444</v>
      </c>
      <c r="B18" s="5"/>
      <c r="C18" s="5"/>
      <c r="D18" s="5"/>
      <c r="E18" s="5"/>
      <c r="F18" s="5"/>
    </row>
    <row r="19" customFormat="false" ht="19.5" hidden="false" customHeight="true" outlineLevel="0" collapsed="false">
      <c r="A19" s="5" t="s">
        <v>445</v>
      </c>
      <c r="B19" s="5"/>
      <c r="C19" s="5"/>
      <c r="D19" s="5"/>
      <c r="E19" s="5"/>
      <c r="F19" s="5"/>
    </row>
    <row r="20" customFormat="false" ht="19.5" hidden="false" customHeight="true" outlineLevel="0" collapsed="false">
      <c r="A20" s="5" t="s">
        <v>446</v>
      </c>
      <c r="B20" s="5"/>
      <c r="C20" s="5"/>
      <c r="D20" s="5"/>
      <c r="E20" s="5"/>
      <c r="F20" s="5"/>
    </row>
    <row r="21" customFormat="false" ht="19.5" hidden="false" customHeight="true" outlineLevel="0" collapsed="false">
      <c r="A21" s="5" t="s">
        <v>447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5" t="s">
        <v>448</v>
      </c>
      <c r="B22" s="5"/>
      <c r="C22" s="5"/>
      <c r="D22" s="5"/>
      <c r="E22" s="5"/>
      <c r="F22" s="5"/>
    </row>
    <row r="23" customFormat="false" ht="19.5" hidden="false" customHeight="true" outlineLevel="0" collapsed="false">
      <c r="A23" s="5" t="s">
        <v>449</v>
      </c>
      <c r="B23" s="5"/>
      <c r="C23" s="5"/>
      <c r="D23" s="5"/>
      <c r="E23" s="5"/>
      <c r="F23" s="5"/>
    </row>
    <row r="24" customFormat="false" ht="19.5" hidden="false" customHeight="true" outlineLevel="0" collapsed="false">
      <c r="A24" s="3" t="s">
        <v>450</v>
      </c>
      <c r="B24" s="3"/>
      <c r="C24" s="3"/>
      <c r="D24" s="3"/>
      <c r="E24" s="3"/>
      <c r="F24" s="3"/>
    </row>
    <row r="25" customFormat="false" ht="21.75" hidden="false" customHeight="true" outlineLevel="0" collapsed="false">
      <c r="A25" s="17" t="s">
        <v>451</v>
      </c>
      <c r="B25" s="5" t="s">
        <v>452</v>
      </c>
      <c r="C25" s="5"/>
      <c r="D25" s="5"/>
      <c r="E25" s="5"/>
      <c r="F25" s="5"/>
    </row>
    <row r="26" customFormat="false" ht="21.75" hidden="false" customHeight="true" outlineLevel="0" collapsed="false">
      <c r="A26" s="22" t="s">
        <v>453</v>
      </c>
      <c r="B26" s="12" t="s">
        <v>454</v>
      </c>
      <c r="C26" s="12"/>
      <c r="D26" s="12"/>
      <c r="E26" s="12"/>
      <c r="F26" s="12"/>
    </row>
    <row r="27" customFormat="false" ht="21.75" hidden="false" customHeight="true" outlineLevel="0" collapsed="false">
      <c r="A27" s="17" t="s">
        <v>455</v>
      </c>
      <c r="B27" s="5" t="s">
        <v>456</v>
      </c>
      <c r="C27" s="5"/>
      <c r="D27" s="5"/>
      <c r="E27" s="5"/>
      <c r="F27" s="5"/>
    </row>
    <row r="28" customFormat="false" ht="21.75" hidden="false" customHeight="true" outlineLevel="0" collapsed="false">
      <c r="A28" s="22" t="s">
        <v>457</v>
      </c>
      <c r="B28" s="12" t="s">
        <v>458</v>
      </c>
      <c r="C28" s="12"/>
      <c r="D28" s="12"/>
      <c r="E28" s="12"/>
      <c r="F28" s="12"/>
    </row>
  </sheetData>
  <mergeCells count="20">
    <mergeCell ref="A1:F1"/>
    <mergeCell ref="A2:F2"/>
    <mergeCell ref="A3:F3"/>
    <mergeCell ref="A4:F4"/>
    <mergeCell ref="A5:F5"/>
    <mergeCell ref="A6:F6"/>
    <mergeCell ref="A7:F7"/>
    <mergeCell ref="A8:F8"/>
    <mergeCell ref="A17:F17"/>
    <mergeCell ref="A18:F18"/>
    <mergeCell ref="A19:F19"/>
    <mergeCell ref="A20:F20"/>
    <mergeCell ref="A21:F21"/>
    <mergeCell ref="A22:F22"/>
    <mergeCell ref="A23:F23"/>
    <mergeCell ref="A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37.5" hidden="false" customHeight="true" outlineLevel="0" collapsed="false">
      <c r="A1" s="1" t="s">
        <v>459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460</v>
      </c>
      <c r="B2" s="2"/>
      <c r="C2" s="2"/>
      <c r="D2" s="2"/>
      <c r="E2" s="2"/>
    </row>
    <row r="3" customFormat="false" ht="33.75" hidden="false" customHeight="true" outlineLevel="0" collapsed="false">
      <c r="A3" s="6" t="s">
        <v>461</v>
      </c>
      <c r="B3" s="6"/>
      <c r="C3" s="6"/>
      <c r="D3" s="6"/>
      <c r="E3" s="6"/>
    </row>
    <row r="4" customFormat="false" ht="33.75" hidden="false" customHeight="true" outlineLevel="0" collapsed="false">
      <c r="A4" s="6" t="s">
        <v>462</v>
      </c>
      <c r="B4" s="6"/>
      <c r="C4" s="6"/>
      <c r="D4" s="6"/>
      <c r="E4" s="6"/>
    </row>
    <row r="5" customFormat="false" ht="24" hidden="false" customHeight="true" outlineLevel="0" collapsed="false">
      <c r="A5" s="7" t="s">
        <v>463</v>
      </c>
      <c r="B5" s="7" t="s">
        <v>464</v>
      </c>
      <c r="C5" s="7" t="s">
        <v>465</v>
      </c>
      <c r="D5" s="7" t="s">
        <v>466</v>
      </c>
      <c r="E5" s="7" t="s">
        <v>467</v>
      </c>
    </row>
    <row r="6" customFormat="false" ht="18" hidden="false" customHeight="true" outlineLevel="0" collapsed="false">
      <c r="A6" s="8" t="s">
        <v>468</v>
      </c>
      <c r="B6" s="8"/>
      <c r="C6" s="8"/>
      <c r="D6" s="8"/>
      <c r="E6" s="8"/>
    </row>
    <row r="7" customFormat="false" ht="55.5" hidden="false" customHeight="true" outlineLevel="0" collapsed="false">
      <c r="A7" s="9" t="s">
        <v>469</v>
      </c>
      <c r="B7" s="5" t="s">
        <v>470</v>
      </c>
      <c r="C7" s="5" t="s">
        <v>471</v>
      </c>
      <c r="D7" s="10" t="s">
        <v>44</v>
      </c>
      <c r="E7" s="10" t="s">
        <v>472</v>
      </c>
    </row>
    <row r="8" customFormat="false" ht="55.5" hidden="false" customHeight="true" outlineLevel="0" collapsed="false">
      <c r="A8" s="11" t="s">
        <v>473</v>
      </c>
      <c r="B8" s="12" t="s">
        <v>474</v>
      </c>
      <c r="C8" s="12" t="s">
        <v>475</v>
      </c>
      <c r="D8" s="13" t="s">
        <v>44</v>
      </c>
      <c r="E8" s="13" t="s">
        <v>472</v>
      </c>
    </row>
    <row r="9" customFormat="false" ht="55.5" hidden="false" customHeight="true" outlineLevel="0" collapsed="false">
      <c r="A9" s="9" t="s">
        <v>476</v>
      </c>
      <c r="B9" s="5" t="s">
        <v>477</v>
      </c>
      <c r="C9" s="5" t="s">
        <v>478</v>
      </c>
      <c r="D9" s="10" t="s">
        <v>95</v>
      </c>
      <c r="E9" s="10" t="s">
        <v>472</v>
      </c>
    </row>
    <row r="10" customFormat="false" ht="55.5" hidden="false" customHeight="true" outlineLevel="0" collapsed="false">
      <c r="A10" s="11" t="s">
        <v>479</v>
      </c>
      <c r="B10" s="12" t="s">
        <v>480</v>
      </c>
      <c r="C10" s="12" t="s">
        <v>481</v>
      </c>
      <c r="D10" s="13" t="s">
        <v>44</v>
      </c>
      <c r="E10" s="13" t="s">
        <v>472</v>
      </c>
    </row>
    <row r="11" customFormat="false" ht="51.75" hidden="false" customHeight="true" outlineLevel="0" collapsed="false">
      <c r="A11" s="24" t="s">
        <v>482</v>
      </c>
      <c r="B11" s="24" t="s">
        <v>483</v>
      </c>
      <c r="C11" s="20" t="s">
        <v>484</v>
      </c>
      <c r="D11" s="25" t="s">
        <v>44</v>
      </c>
      <c r="E11" s="25" t="s">
        <v>472</v>
      </c>
    </row>
    <row r="12" customFormat="false" ht="18" hidden="false" customHeight="true" outlineLevel="0" collapsed="false">
      <c r="A12" s="8" t="s">
        <v>485</v>
      </c>
      <c r="B12" s="8"/>
      <c r="C12" s="8"/>
      <c r="D12" s="8"/>
      <c r="E12" s="8"/>
    </row>
    <row r="13" customFormat="false" ht="55.5" hidden="false" customHeight="true" outlineLevel="0" collapsed="false">
      <c r="A13" s="9" t="s">
        <v>486</v>
      </c>
      <c r="B13" s="5" t="s">
        <v>487</v>
      </c>
      <c r="C13" s="5" t="s">
        <v>488</v>
      </c>
      <c r="D13" s="10" t="s">
        <v>44</v>
      </c>
      <c r="E13" s="10" t="s">
        <v>472</v>
      </c>
    </row>
    <row r="14" customFormat="false" ht="55.5" hidden="false" customHeight="true" outlineLevel="0" collapsed="false">
      <c r="A14" s="11" t="s">
        <v>489</v>
      </c>
      <c r="B14" s="12" t="s">
        <v>490</v>
      </c>
      <c r="C14" s="12" t="s">
        <v>491</v>
      </c>
      <c r="D14" s="13" t="s">
        <v>38</v>
      </c>
      <c r="E14" s="13" t="s">
        <v>472</v>
      </c>
    </row>
    <row r="15" customFormat="false" ht="55.5" hidden="false" customHeight="true" outlineLevel="0" collapsed="false">
      <c r="A15" s="9" t="s">
        <v>492</v>
      </c>
      <c r="B15" s="5" t="s">
        <v>493</v>
      </c>
      <c r="C15" s="5" t="s">
        <v>494</v>
      </c>
      <c r="D15" s="10" t="s">
        <v>90</v>
      </c>
      <c r="E15" s="10" t="s">
        <v>472</v>
      </c>
    </row>
    <row r="16" customFormat="false" ht="51.75" hidden="false" customHeight="true" outlineLevel="0" collapsed="false">
      <c r="A16" s="24" t="s">
        <v>495</v>
      </c>
      <c r="B16" s="24" t="s">
        <v>483</v>
      </c>
      <c r="C16" s="20" t="s">
        <v>496</v>
      </c>
      <c r="D16" s="25" t="s">
        <v>44</v>
      </c>
      <c r="E16" s="25" t="s">
        <v>472</v>
      </c>
    </row>
    <row r="17" customFormat="false" ht="18" hidden="false" customHeight="true" outlineLevel="0" collapsed="false">
      <c r="A17" s="8" t="s">
        <v>497</v>
      </c>
      <c r="B17" s="8"/>
      <c r="C17" s="8"/>
      <c r="D17" s="8"/>
      <c r="E17" s="8"/>
    </row>
    <row r="18" customFormat="false" ht="55.5" hidden="false" customHeight="true" outlineLevel="0" collapsed="false">
      <c r="A18" s="11" t="s">
        <v>498</v>
      </c>
      <c r="B18" s="12" t="s">
        <v>499</v>
      </c>
      <c r="C18" s="12" t="s">
        <v>500</v>
      </c>
      <c r="D18" s="13" t="s">
        <v>44</v>
      </c>
      <c r="E18" s="13" t="s">
        <v>472</v>
      </c>
    </row>
    <row r="19" customFormat="false" ht="55.5" hidden="false" customHeight="true" outlineLevel="0" collapsed="false">
      <c r="A19" s="9" t="s">
        <v>501</v>
      </c>
      <c r="B19" s="5" t="s">
        <v>502</v>
      </c>
      <c r="C19" s="5" t="s">
        <v>503</v>
      </c>
      <c r="D19" s="10" t="s">
        <v>44</v>
      </c>
      <c r="E19" s="10" t="s">
        <v>472</v>
      </c>
    </row>
    <row r="20" customFormat="false" ht="55.5" hidden="false" customHeight="true" outlineLevel="0" collapsed="false">
      <c r="A20" s="11" t="s">
        <v>504</v>
      </c>
      <c r="B20" s="12" t="s">
        <v>505</v>
      </c>
      <c r="C20" s="12" t="s">
        <v>506</v>
      </c>
      <c r="D20" s="13" t="s">
        <v>227</v>
      </c>
      <c r="E20" s="13" t="s">
        <v>472</v>
      </c>
    </row>
    <row r="21" customFormat="false" ht="51.75" hidden="false" customHeight="true" outlineLevel="0" collapsed="false">
      <c r="A21" s="24" t="s">
        <v>507</v>
      </c>
      <c r="B21" s="24" t="s">
        <v>483</v>
      </c>
      <c r="C21" s="20" t="s">
        <v>508</v>
      </c>
      <c r="D21" s="25" t="s">
        <v>227</v>
      </c>
      <c r="E21" s="25" t="s">
        <v>472</v>
      </c>
    </row>
  </sheetData>
  <mergeCells count="7">
    <mergeCell ref="A1:E1"/>
    <mergeCell ref="A2:E2"/>
    <mergeCell ref="A3:E3"/>
    <mergeCell ref="A4:E4"/>
    <mergeCell ref="A6:E6"/>
    <mergeCell ref="A12:E1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40"/>
    <col collapsed="false" customWidth="true" hidden="false" outlineLevel="0" max="5" min="5" style="0" width="16"/>
  </cols>
  <sheetData>
    <row r="1" customFormat="false" ht="37.5" hidden="false" customHeight="true" outlineLevel="0" collapsed="false">
      <c r="A1" s="1" t="s">
        <v>509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510</v>
      </c>
      <c r="B2" s="2"/>
      <c r="C2" s="2"/>
      <c r="D2" s="2"/>
      <c r="E2" s="2"/>
    </row>
    <row r="3" customFormat="false" ht="24" hidden="false" customHeight="true" outlineLevel="0" collapsed="false">
      <c r="A3" s="7" t="s">
        <v>217</v>
      </c>
      <c r="B3" s="7" t="s">
        <v>218</v>
      </c>
      <c r="C3" s="7" t="s">
        <v>219</v>
      </c>
      <c r="D3" s="7" t="s">
        <v>220</v>
      </c>
      <c r="E3" s="7" t="s">
        <v>222</v>
      </c>
    </row>
    <row r="4" customFormat="false" ht="45.75" hidden="false" customHeight="true" outlineLevel="0" collapsed="false">
      <c r="A4" s="9" t="s">
        <v>223</v>
      </c>
      <c r="B4" s="5" t="s">
        <v>224</v>
      </c>
      <c r="C4" s="5" t="s">
        <v>511</v>
      </c>
      <c r="D4" s="5" t="s">
        <v>226</v>
      </c>
      <c r="E4" s="10" t="s">
        <v>228</v>
      </c>
    </row>
    <row r="5" customFormat="false" ht="45.75" hidden="false" customHeight="true" outlineLevel="0" collapsed="false">
      <c r="A5" s="11" t="s">
        <v>512</v>
      </c>
      <c r="B5" s="12" t="s">
        <v>230</v>
      </c>
      <c r="C5" s="12" t="s">
        <v>231</v>
      </c>
      <c r="D5" s="12" t="s">
        <v>232</v>
      </c>
      <c r="E5" s="13" t="s">
        <v>512</v>
      </c>
    </row>
    <row r="6" customFormat="false" ht="45.75" hidden="false" customHeight="true" outlineLevel="0" collapsed="false">
      <c r="A6" s="9" t="s">
        <v>513</v>
      </c>
      <c r="B6" s="5" t="s">
        <v>234</v>
      </c>
      <c r="C6" s="5" t="s">
        <v>235</v>
      </c>
      <c r="D6" s="5" t="s">
        <v>236</v>
      </c>
      <c r="E6" s="10" t="s">
        <v>514</v>
      </c>
    </row>
    <row r="7" customFormat="false" ht="45.75" hidden="false" customHeight="true" outlineLevel="0" collapsed="false">
      <c r="A7" s="11" t="s">
        <v>239</v>
      </c>
      <c r="B7" s="12" t="s">
        <v>240</v>
      </c>
      <c r="C7" s="12" t="s">
        <v>241</v>
      </c>
      <c r="D7" s="12" t="s">
        <v>242</v>
      </c>
      <c r="E7" s="13" t="s">
        <v>244</v>
      </c>
    </row>
    <row r="8" customFormat="false" ht="19.5" hidden="false" customHeight="true" outlineLevel="0" collapsed="false">
      <c r="A8" s="3" t="s">
        <v>515</v>
      </c>
      <c r="B8" s="3"/>
      <c r="C8" s="3"/>
      <c r="D8" s="3"/>
      <c r="E8" s="3"/>
    </row>
    <row r="9" customFormat="false" ht="33.75" hidden="false" customHeight="true" outlineLevel="0" collapsed="false">
      <c r="A9" s="5" t="s">
        <v>516</v>
      </c>
      <c r="B9" s="5"/>
      <c r="C9" s="5"/>
      <c r="D9" s="5"/>
      <c r="E9" s="5"/>
    </row>
    <row r="10" customFormat="false" ht="33.75" hidden="false" customHeight="true" outlineLevel="0" collapsed="false">
      <c r="A10" s="5" t="s">
        <v>517</v>
      </c>
      <c r="B10" s="5"/>
      <c r="C10" s="5"/>
      <c r="D10" s="5"/>
      <c r="E10" s="5"/>
    </row>
    <row r="11" customFormat="false" ht="33.75" hidden="false" customHeight="true" outlineLevel="0" collapsed="false">
      <c r="A11" s="5" t="s">
        <v>518</v>
      </c>
      <c r="B11" s="5"/>
      <c r="C11" s="5"/>
      <c r="D11" s="5"/>
      <c r="E11" s="5"/>
    </row>
    <row r="12" customFormat="false" ht="19.5" hidden="false" customHeight="true" outlineLevel="0" collapsed="false">
      <c r="A12" s="3" t="s">
        <v>519</v>
      </c>
      <c r="B12" s="3"/>
      <c r="C12" s="3"/>
      <c r="D12" s="3"/>
      <c r="E12" s="3"/>
    </row>
    <row r="13" customFormat="false" ht="24" hidden="false" customHeight="true" outlineLevel="0" collapsed="false">
      <c r="A13" s="26" t="s">
        <v>520</v>
      </c>
      <c r="B13" s="26"/>
      <c r="C13" s="26"/>
      <c r="D13" s="26"/>
      <c r="E13" s="26"/>
    </row>
    <row r="14" customFormat="false" ht="24" hidden="false" customHeight="true" outlineLevel="0" collapsed="false">
      <c r="A14" s="26" t="s">
        <v>521</v>
      </c>
      <c r="B14" s="26"/>
      <c r="C14" s="26"/>
      <c r="D14" s="26"/>
      <c r="E14" s="26"/>
    </row>
    <row r="15" customFormat="false" ht="24" hidden="false" customHeight="true" outlineLevel="0" collapsed="false">
      <c r="A15" s="26" t="s">
        <v>522</v>
      </c>
      <c r="B15" s="26"/>
      <c r="C15" s="26"/>
      <c r="D15" s="26"/>
      <c r="E15" s="26"/>
    </row>
  </sheetData>
  <mergeCells count="10">
    <mergeCell ref="A1:E1"/>
    <mergeCell ref="A2:E2"/>
    <mergeCell ref="A8:E8"/>
    <mergeCell ref="A9:E9"/>
    <mergeCell ref="A10:E10"/>
    <mergeCell ref="A11:E11"/>
    <mergeCell ref="A12:E12"/>
    <mergeCell ref="A13:E13"/>
    <mergeCell ref="A14:E14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2026-06-04T04:58:32Z</dcterms:created>
  <dc:creator>openpyxl</dc:creator>
  <dc:description/>
  <dc:language>en-US</dc:language>
  <cp:lastModifiedBy/>
  <dcterms:modified xsi:type="dcterms:W3CDTF">2026-06-04T04:58:32Z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