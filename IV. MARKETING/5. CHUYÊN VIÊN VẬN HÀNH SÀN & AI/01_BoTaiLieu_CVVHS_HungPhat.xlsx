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ông việc" sheetId="1" state="visible" r:id="rId3"/>
    <sheet name="Khung năng lực" sheetId="2" state="visible" r:id="rId4"/>
    <sheet name="Phiếu đánh giá cá nhân" sheetId="3" state="visible" r:id="rId5"/>
    <sheet name="Câu hỏi phỏng vấn" sheetId="4" state="visible" r:id="rId6"/>
    <sheet name="Score Card ứng viên" sheetId="5" state="visible" r:id="rId7"/>
    <sheet name="Kế hoạch 30-60-90 ngày" sheetId="6" state="visible" r:id="rId8"/>
    <sheet name="Lộ trình phát triể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<sst xmlns="http://schemas.openxmlformats.org/spreadsheetml/2006/main" count="742" uniqueCount="553">
  <si>
    <t xml:space="preserve">MÔ TẢ CÔNG VIỆC – CHUYÊN VIÊN VẬN HÀNH SÀN TMĐT (KIÊM ỨNG DỤNG AI)</t>
  </si>
  <si>
    <t xml:space="preserve">CTCP Hùng Phát | TMĐT | Mã vị trí: CVVHS | Phiên bản v1.0</t>
  </si>
  <si>
    <t xml:space="preserve">▌ I. THÔNG TIN CHUNG</t>
  </si>
  <si>
    <t xml:space="preserve">Chức danh</t>
  </si>
  <si>
    <t xml:space="preserve">Chuyên viên Vận hành Sàn TMĐT (kiêm Ứng dụng AI) (E-commerce Operations Specialist (cum AI))</t>
  </si>
  <si>
    <t xml:space="preserve">Mã vị trí</t>
  </si>
  <si>
    <t xml:space="preserve">CVVHS</t>
  </si>
  <si>
    <t xml:space="preserve">Phòng / Bộ phận</t>
  </si>
  <si>
    <t xml:space="preserve">Bộ phận Thương mại điện tử (TMĐT)</t>
  </si>
  <si>
    <t xml:space="preserve">Cấp báo cáo</t>
  </si>
  <si>
    <t xml:space="preserve">Trưởng nhóm / Trưởng phòng Thương mại điện tử (TMĐT)</t>
  </si>
  <si>
    <t xml:space="preserve">Cấp dưới trực tiếp</t>
  </si>
  <si>
    <t xml:space="preserve">Không có (vị trí cá nhân – Individual Contributor)</t>
  </si>
  <si>
    <t xml:space="preserve">Tính chất vị trí</t>
  </si>
  <si>
    <t xml:space="preserve">Hands-on: trực tiếp vận hành gian hàng đa sàn &amp; ứng dụng AI tối ưu vận hành</t>
  </si>
  <si>
    <t xml:space="preserve">Sàn phụ trách</t>
  </si>
  <si>
    <t xml:space="preserve">Shopee · Lazada · TikTok Shop... (gian hàng official, theo phân công)</t>
  </si>
  <si>
    <t xml:space="preserve">Kiêm Ứng dụng AI</t>
  </si>
  <si>
    <t xml:space="preserve">Tối ưu listing/SEO sàn · nội dung mô tả · phân tích dữ liệu · tự động hóa · chatbot CSKH</t>
  </si>
  <si>
    <t xml:space="preserve">Địa điểm / Ca</t>
  </si>
  <si>
    <t xml:space="preserve">Văn phòng HP; làm việc chính trên trình quản lý gian hàng các sàn &amp; công cụ AI/dữ liệu | Giờ hành chính; trực &amp; xử lý campaign sàn (flash/mega sale) linh hoạt theo lịch sàn</t>
  </si>
  <si>
    <t xml:space="preserve">Ngày hiệu lực / JD</t>
  </si>
  <si>
    <t xml:space="preserve">___/___/______ | v1.0</t>
  </si>
  <si>
    <t xml:space="preserve">▌ II. MỤC ĐÍCH VỊ TRÍ</t>
  </si>
  <si>
    <t xml:space="preserve">Chuyên viên Vận hành Sàn TMĐT chịu trách nhiệm vận hành &amp; tăng trưởng các gian hàng official của HP trên các sàn (Shopee/Lazada/TikTok Shop): quản lý sản phẩm/listing &amp; tối ưu hiển thị, xử lý đơn hàng – tồn kho – giao vận, tham gia campaign sàn (flash/mega sale, voucher), chăm sóc khách &amp; đánh giá, theo dõi chỉ số gian hàng. Đồng thời KIÊM ỨNG DỤNG AI để nâng hiệu quả vận hành: dùng AI tối ưu tiêu đề/mô tả/SEO sàn, tạo nội dung listing, phân tích dữ liệu bán hàng, tự động hóa các bước lặp và hỗ trợ trả lời khách (chatbot). Đây là vị trí HANDS-ON &amp; DATA-DRIVEN. Ưu tiên cốt lõi: DOANH SỐ &amp; TĂNG TRƯỞNG GIAN HÀNG – SỨC KHỎE GIAN HÀNG TỐT (chỉ số sàn, đánh giá) – VẬN HÀNH MƯỢT (đơn/tồn/giao) – KHAI THÁC AI tăng năng suất – TUÂN THỦ CHÍNH SÁCH SÀN.</t>
  </si>
  <si>
    <t xml:space="preserve">▌ III. TRÁCH NHIỆM CHÍNH &amp; KPI</t>
  </si>
  <si>
    <t xml:space="preserve">#</t>
  </si>
  <si>
    <t xml:space="preserve">TRÁCH NHIỆM / NHIỆM VỤ</t>
  </si>
  <si>
    <t xml:space="preserve">KPI / TIÊU CHUẨN</t>
  </si>
  <si>
    <t xml:space="preserve">TẦN SUẤT</t>
  </si>
  <si>
    <t xml:space="preserve">MỨC TỐI THIỂU</t>
  </si>
  <si>
    <t xml:space="preserve">PHỐI HỢP</t>
  </si>
  <si>
    <t xml:space="preserve">NHÓM 1 – VẬN HÀNH GIAN HÀNG &amp; QUẢN LÝ SẢN PHẨM/LISTING</t>
  </si>
  <si>
    <t xml:space="preserve">1.1</t>
  </si>
  <si>
    <t xml:space="preserve">Quản lý &amp; vận hành gian hàng official đa sàn: cấu hình, danh mục, trang trí, thông tin shop</t>
  </si>
  <si>
    <t xml:space="preserve">Gian hàng đầy đủ &amp; chuẩn; 0 sự cố cấu hình lớn</t>
  </si>
  <si>
    <t xml:space="preserve">Hàng tuần</t>
  </si>
  <si>
    <t xml:space="preserve">Gian hàng chuẩn</t>
  </si>
  <si>
    <t xml:space="preserve">TN/TP TMĐT · Thiết kế</t>
  </si>
  <si>
    <t xml:space="preserve">1.2</t>
  </si>
  <si>
    <t xml:space="preserve">Đăng &amp; quản lý sản phẩm/listing (tiêu đề, mô tả, hình, thuộc tính, biến thể, giá) đúng chuẩn sàn</t>
  </si>
  <si>
    <t xml:space="preserve">100% SP đăng đúng chuẩn &amp; đủ thông tin; 0 listing vi phạm</t>
  </si>
  <si>
    <t xml:space="preserve">Đúng chuẩn sàn</t>
  </si>
  <si>
    <t xml:space="preserve">Thiết kế · Sản phẩm</t>
  </si>
  <si>
    <t xml:space="preserve">1.3</t>
  </si>
  <si>
    <t xml:space="preserve">Tối ưu hiển thị &amp; SEO sàn (từ khóa, tiêu đề, thuộc tính) để tăng traffic tự nhiên</t>
  </si>
  <si>
    <t xml:space="preserve">Ranking/traffic SP chính cải thiện ≥ KH</t>
  </si>
  <si>
    <t xml:space="preserve">Traffic ≥ KH</t>
  </si>
  <si>
    <t xml:space="preserve">TN/TP TMĐT</t>
  </si>
  <si>
    <t xml:space="preserve">NHÓM 2 – QUẢN TRỊ ĐƠN HÀNG, TỒN KHO &amp; GIAO VẬN</t>
  </si>
  <si>
    <t xml:space="preserve">2.1</t>
  </si>
  <si>
    <t xml:space="preserve">Xử lý đơn hàng đúng &amp; đúng hạn (xác nhận, đóng gói, bàn giao vận chuyển); tỷ lệ xử lý đúng hạn</t>
  </si>
  <si>
    <t xml:space="preserve">Tỷ lệ xử lý đơn đúng hạn ≥ KH; 0 đơn quá hạn do lỗi</t>
  </si>
  <si>
    <t xml:space="preserve">Hàng ngày</t>
  </si>
  <si>
    <t xml:space="preserve">Xử lý đúng hạn ≥ KH</t>
  </si>
  <si>
    <t xml:space="preserve">Kho · Vận chuyển</t>
  </si>
  <si>
    <t xml:space="preserve">2.2</t>
  </si>
  <si>
    <t xml:space="preserve">Đồng bộ &amp; kiểm soát tồn kho trên sàn vs kho thực; tránh hết hàng/oversell</t>
  </si>
  <si>
    <t xml:space="preserve">Tồn khớp; 0 oversell/hủy đơn do sai tồn</t>
  </si>
  <si>
    <t xml:space="preserve">0 oversell</t>
  </si>
  <si>
    <t xml:space="preserve">Kho · TN/TP TMĐT</t>
  </si>
  <si>
    <t xml:space="preserve">2.3</t>
  </si>
  <si>
    <t xml:space="preserve">Xử lý hoàn/hủy/khiếu nại đơn &amp; phối hợp giao vận theo chính sách sàn</t>
  </si>
  <si>
    <t xml:space="preserve">Tỷ lệ hủy/hoàn trong ngưỡng; khiếu nại xử lý đúng hạn</t>
  </si>
  <si>
    <t xml:space="preserve">Trong ngưỡng sàn</t>
  </si>
  <si>
    <t xml:space="preserve">CSKH · Vận chuyển</t>
  </si>
  <si>
    <t xml:space="preserve">NHÓM 3 – CAMPAIGN SÀN &amp; TĂNG TRƯỞNG DOANH SỐ</t>
  </si>
  <si>
    <t xml:space="preserve">3.1</t>
  </si>
  <si>
    <t xml:space="preserve">Tham gia &amp; vận hành campaign sàn (flash sale, mega sale, voucher, deal, combo, freeship)</t>
  </si>
  <si>
    <t xml:space="preserve">Đăng ký &amp; set up campaign đúng hạn; doanh số campaign ≥ KH</t>
  </si>
  <si>
    <t xml:space="preserve">Theo lịch sàn</t>
  </si>
  <si>
    <t xml:space="preserve">Doanh số campaign ≥ KH</t>
  </si>
  <si>
    <t xml:space="preserve">TN/TP TMĐT · Media</t>
  </si>
  <si>
    <t xml:space="preserve">3.2</t>
  </si>
  <si>
    <t xml:space="preserve">Thiết lập khuyến mãi/giá &amp; quảng cáo trên sàn (Shopee Ads/đấu thầu từ khóa) trong ngân sách</t>
  </si>
  <si>
    <t xml:space="preserve">Hiệu quả quảng cáo sàn (ROAS/ACOS) đạt ≥ KH; chi trong ngân sách</t>
  </si>
  <si>
    <t xml:space="preserve">ROAS/ACOS ≥ KH</t>
  </si>
  <si>
    <t xml:space="preserve">3.3</t>
  </si>
  <si>
    <t xml:space="preserve">Phối hợp livestream/affiliate/KOC trên sàn &amp; chương trình tăng trưởng khi có</t>
  </si>
  <si>
    <t xml:space="preserve">Hoạt động tăng trưởng triển khai đúng kế hoạch &amp; có đo hiệu quả</t>
  </si>
  <si>
    <t xml:space="preserve">Theo chiến dịch</t>
  </si>
  <si>
    <t xml:space="preserve">Triển khai đúng KH</t>
  </si>
  <si>
    <t xml:space="preserve">Media · Content</t>
  </si>
  <si>
    <t xml:space="preserve">NHÓM 4 – ỨNG DỤNG AI VÀO VẬN HÀNH (Kiêm AI)</t>
  </si>
  <si>
    <t xml:space="preserve">4.1</t>
  </si>
  <si>
    <t xml:space="preserve">Dùng AI tối ưu listing &amp; SEO sàn (tiêu đề/mô tả/từ khóa) &amp; tạo nội dung mô tả sản phẩm</t>
  </si>
  <si>
    <t xml:space="preserve">Năng suất tạo/tối ưu listing tăng ≥ KH nhờ AI; chất lượng đạt chuẩn</t>
  </si>
  <si>
    <t xml:space="preserve">Năng suất tăng ≥ KH</t>
  </si>
  <si>
    <t xml:space="preserve">TN/TP TMĐT · Content</t>
  </si>
  <si>
    <t xml:space="preserve">4.2</t>
  </si>
  <si>
    <t xml:space="preserve">Dùng AI phân tích dữ liệu bán hàng (giá, đối thủ, xu hướng) &amp; gợi ý quyết định vận hành</t>
  </si>
  <si>
    <t xml:space="preserve">Có phân tích AI hỗ trợ ≥ 1 quyết định/chu kỳ (giá/khuyến mãi/listing)</t>
  </si>
  <si>
    <t xml:space="preserve">Hàng tháng</t>
  </si>
  <si>
    <t xml:space="preserve">≥ 1 phân tích AI/chu kỳ</t>
  </si>
  <si>
    <t xml:space="preserve">4.3</t>
  </si>
  <si>
    <t xml:space="preserve">Tự động hóa bước lặp &amp; hỗ trợ CSKH bằng AI (chatbot/trả lời mẫu) trong phạm vi &amp; chính sách</t>
  </si>
  <si>
    <t xml:space="preserve">Tự động hóa ≥ 1 quy trình lặp; AI hỗ trợ trả lời đúng &amp; an toàn</t>
  </si>
  <si>
    <t xml:space="preserve">Hàng quý</t>
  </si>
  <si>
    <t xml:space="preserve">Tự động ≥ 1 quy trình</t>
  </si>
  <si>
    <t xml:space="preserve">IT · CSKH</t>
  </si>
  <si>
    <t xml:space="preserve">NHÓM 5 – PHÂN TÍCH DỮ LIỆU, CHỈ SỐ GIAN HÀNG &amp; BÁO CÁO</t>
  </si>
  <si>
    <t xml:space="preserve">5.1</t>
  </si>
  <si>
    <t xml:space="preserve">Theo dõi chỉ số gian hàng &amp; sản phẩm (traffic, conversion, doanh số, tồn, đánh giá, sức khỏe shop)</t>
  </si>
  <si>
    <t xml:space="preserve">Chỉ số được theo dõi định kỳ; phát hiện &amp; xử lý suy giảm kịp</t>
  </si>
  <si>
    <t xml:space="preserve">Theo dõi đầy đủ</t>
  </si>
  <si>
    <t xml:space="preserve">5.2</t>
  </si>
  <si>
    <t xml:space="preserve">Báo cáo hiệu quả vận hành &amp; doanh số đa sàn cho cấp trên; rút insight &amp; đề xuất</t>
  </si>
  <si>
    <t xml:space="preserve">100% kỳ báo cáo đúng hạn; số liệu chính xác; có insight &amp; action</t>
  </si>
  <si>
    <t xml:space="preserve">Hàng tuần/tháng</t>
  </si>
  <si>
    <t xml:space="preserve">0 báo cáo trễ</t>
  </si>
  <si>
    <t xml:space="preserve">TN/TP TMĐT · Kế toán</t>
  </si>
  <si>
    <t xml:space="preserve">NHÓM 6 – CHĂM SÓC, TUÂN THỦ CHÍNH SÁCH SÀN &amp; RỦI RO</t>
  </si>
  <si>
    <t xml:space="preserve">6.1</t>
  </si>
  <si>
    <t xml:space="preserve">Chăm sóc khách &amp; quản trị đánh giá (review/rating); xử lý đánh giá xấu đúng quy trình</t>
  </si>
  <si>
    <t xml:space="preserve">Rating gian hàng ≥ KH; tỷ lệ phản hồi &amp; xử lý đánh giá đạt SLA</t>
  </si>
  <si>
    <t xml:space="preserve">Rating ≥ KH</t>
  </si>
  <si>
    <t xml:space="preserve">CSKH · TN/TP TMĐT</t>
  </si>
  <si>
    <t xml:space="preserve">6.2</t>
  </si>
  <si>
    <t xml:space="preserve">Tuân thủ chính sách &amp; quy định từng sàn (listing, quảng cáo, vận hành); giữ sức khỏe/điểm shop</t>
  </si>
  <si>
    <t xml:space="preserve">0 vi phạm chính sách sàn do lỗi; điểm sức khỏe shop đạt ngưỡng an toàn</t>
  </si>
  <si>
    <t xml:space="preserve">0 vi phạm do lỗi</t>
  </si>
  <si>
    <t xml:space="preserve">6.3</t>
  </si>
  <si>
    <t xml:space="preserve">Quản trị rủi ro: khóa/phạt shop, oversell, sai giá, lộ dữ liệu; có cảnh báo &amp; dự phòng</t>
  </si>
  <si>
    <t xml:space="preserve">Risk review ≥ 1 lần/quý; 0 sự cố lớn không có cảnh báo trước</t>
  </si>
  <si>
    <t xml:space="preserve">Risk review/quý</t>
  </si>
  <si>
    <t xml:space="preserve">TN/TP TMĐT · IT</t>
  </si>
  <si>
    <t xml:space="preserve">▌ IV. CHỈ TIÊU KPI SỐNG CÒN – CV Vận hành Sàn</t>
  </si>
  <si>
    <t xml:space="preserve">CHỈ TIÊU KPI</t>
  </si>
  <si>
    <t xml:space="preserve">TRỌNG SỐ</t>
  </si>
  <si>
    <t xml:space="preserve">TIÊU CHUẨN ĐẠT</t>
  </si>
  <si>
    <t xml:space="preserve">TIÊU CHUẨN XUẤT SẮC</t>
  </si>
  <si>
    <t xml:space="preserve">NGUỒN DỮ LIỆU</t>
  </si>
  <si>
    <t xml:space="preserve">1</t>
  </si>
  <si>
    <t xml:space="preserve">Doanh số &amp; tăng trưởng gian hàng</t>
  </si>
  <si>
    <t xml:space="preserve">25%</t>
  </si>
  <si>
    <t xml:space="preserve">Doanh số đa sàn ≥ KH · tăng trưởng theo mục tiêu</t>
  </si>
  <si>
    <t xml:space="preserve">Vượt mục tiêu · tăng trưởng mạnh</t>
  </si>
  <si>
    <t xml:space="preserve">Báo cáo sàn / Kế toán</t>
  </si>
  <si>
    <t xml:space="preserve">2</t>
  </si>
  <si>
    <t xml:space="preserve">Sức khỏe gian hàng &amp; vận hành đơn</t>
  </si>
  <si>
    <t xml:space="preserve">18%</t>
  </si>
  <si>
    <t xml:space="preserve">Xử lý đơn đúng hạn ≥ KH · điểm shop an toàn · 0 oversell</t>
  </si>
  <si>
    <t xml:space="preserve">Chỉ số shop top · 0 sự cố vận hành</t>
  </si>
  <si>
    <t xml:space="preserve">Trình quản lý sàn</t>
  </si>
  <si>
    <t xml:space="preserve">3</t>
  </si>
  <si>
    <t xml:space="preserve">Campaign sàn &amp; quảng cáo (ROAS/ACOS)</t>
  </si>
  <si>
    <t xml:space="preserve">15%</t>
  </si>
  <si>
    <t xml:space="preserve">Doanh số campaign ≥ KH · ROAS/ACOS ≥ KH</t>
  </si>
  <si>
    <t xml:space="preserve">Vượt mục tiêu campaign · quảng cáo tối ưu</t>
  </si>
  <si>
    <t xml:space="preserve">Báo cáo campaign/Ads</t>
  </si>
  <si>
    <t xml:space="preserve">4</t>
  </si>
  <si>
    <t xml:space="preserve">Ứng dụng AI tăng năng suất/hiệu quả</t>
  </si>
  <si>
    <t xml:space="preserve">Năng suất listing/phân tích tăng ≥ KH nhờ AI</t>
  </si>
  <si>
    <t xml:space="preserve">Khai thác AI nổi bật · tự động hóa rõ rệt</t>
  </si>
  <si>
    <t xml:space="preserve">Báo cáo vận hành</t>
  </si>
  <si>
    <t xml:space="preserve">5</t>
  </si>
  <si>
    <t xml:space="preserve">Listing &amp; tối ưu hiển thị (SEO sàn)</t>
  </si>
  <si>
    <t xml:space="preserve">12%</t>
  </si>
  <si>
    <t xml:space="preserve">Listing chuẩn &amp; SEO tốt · traffic/ranking ≥ KH</t>
  </si>
  <si>
    <t xml:space="preserve">Nhiều SP lên top tìm kiếm sàn</t>
  </si>
  <si>
    <t xml:space="preserve">Analytics sàn</t>
  </si>
  <si>
    <t xml:space="preserve">6</t>
  </si>
  <si>
    <t xml:space="preserve">Tuân thủ chính sách sàn &amp; dữ liệu</t>
  </si>
  <si>
    <t xml:space="preserve">0 vi phạm chính sách do lỗi · rating ≥ KH</t>
  </si>
  <si>
    <t xml:space="preserve">Shop chuẩn mực · rating cao</t>
  </si>
  <si>
    <t xml:space="preserve">▌ V. YÊU CẦU CÔNG VIỆC</t>
  </si>
  <si>
    <t xml:space="preserve">NĂNG LỰC &amp; KỸ NĂNG CẦN CÓ</t>
  </si>
  <si>
    <t xml:space="preserve">KINH NGHIỆM &amp; HỌC VẤN</t>
  </si>
  <si>
    <t xml:space="preserve">✅  Vận hành gian hàng sàn TMĐT (Shopee/Lazada/TikTok Shop): listing, đơn, campaign</t>
  </si>
  <si>
    <t xml:space="preserve">⏱  Tối thiểu 1–3 năm vận hành sàn TMĐT; ưu tiên đã quản gian hàng official</t>
  </si>
  <si>
    <t xml:space="preserve">✅  Quản lý sản phẩm/listing, tối ưu SEO sàn &amp; hiển thị</t>
  </si>
  <si>
    <t xml:space="preserve">🎓  Cao đẳng/Đại học: Kinh tế/Thương mại/Marketing hoặc tương đương</t>
  </si>
  <si>
    <t xml:space="preserve">✅  Xử lý đơn – tồn kho – giao vận &amp; chính sách từng sàn</t>
  </si>
  <si>
    <t xml:space="preserve">📊  Tư duy số liệu: đọc &amp; ra quyết định từ chỉ số gian hàng</t>
  </si>
  <si>
    <t xml:space="preserve">✅  Ứng dụng AI vào vận hành (AI nội dung/listing, phân tích, tự động hóa, chatbot)</t>
  </si>
  <si>
    <t xml:space="preserve">🤖  THỜI ĐẠI AI: biết &amp; sẵn sàng học công cụ AI là yêu cầu cốt lõi của vị trí</t>
  </si>
  <si>
    <t xml:space="preserve">✅  Vận hành campaign sàn (flash/mega sale, voucher) &amp; quảng cáo sàn (Ads)</t>
  </si>
  <si>
    <t xml:space="preserve">💻  Thành thạo trình quản lý gian hàng, Excel/Sheets; biết công cụ phân tích là lợi thế</t>
  </si>
  <si>
    <t xml:space="preserve">✅  Chăm sóc khách &amp; quản trị đánh giá; tuân thủ chính sách sàn</t>
  </si>
  <si>
    <t xml:space="preserve">🤝  Phối hợp Kho/Vận chuyển/Media/Content/CSKH</t>
  </si>
  <si>
    <t xml:space="preserve">✅  Phân tích dữ liệu bán hàng &amp; báo cáo</t>
  </si>
  <si>
    <t xml:space="preserve">⚡  Data-driven, cẩn thận, kỷ luật, chịu áp lực doanh số &amp; cao điểm sàn</t>
  </si>
  <si>
    <t xml:space="preserve">▌ VI. NĂNG LỰC CẦN CÓ (Theo Khung Năng Lực Hùng Phát)</t>
  </si>
  <si>
    <t xml:space="preserve">Mức cấp tối thiểu khi nhận vị trí: Cấp 3 cho cả 6 nhóm | BẮT BUỘC: tự vận hành gian hàng (N1/N2) + biết ứng dụng AI vào vận hành (N4)</t>
  </si>
  <si>
    <t xml:space="preserve">NHÓM NL</t>
  </si>
  <si>
    <t xml:space="preserve">TÊN NHÓM NĂNG LỰC</t>
  </si>
  <si>
    <t xml:space="preserve">CẤP TỐI THIỂU</t>
  </si>
  <si>
    <t xml:space="preserve">MÔ TẢ CẤP 3 – ĐẠT YÊU CẦU ✅</t>
  </si>
  <si>
    <t xml:space="preserve">CẤP MỤC TIÊU SAU 1 NĂM</t>
  </si>
  <si>
    <t xml:space="preserve">N1</t>
  </si>
  <si>
    <t xml:space="preserve">Vận hành Gian hàng &amp; Quản lý Listing</t>
  </si>
  <si>
    <t xml:space="preserve">Cấp 3</t>
  </si>
  <si>
    <t xml:space="preserve">Vận hành gian hàng đa sàn, đăng &amp; quản lý listing đúng chuẩn, tối ưu SEO/hiển thị tăng traffic.</t>
  </si>
  <si>
    <t xml:space="preserve">Cấp 4</t>
  </si>
  <si>
    <t xml:space="preserve">N2</t>
  </si>
  <si>
    <t xml:space="preserve">Quản trị Đơn hàng, Tồn kho &amp; Giao vận</t>
  </si>
  <si>
    <t xml:space="preserve">Xử lý đơn đúng hạn, đồng bộ tồn (0 oversell), xử lý hoàn/hủy/khiếu nại theo chính sách sàn.</t>
  </si>
  <si>
    <t xml:space="preserve">N3</t>
  </si>
  <si>
    <t xml:space="preserve">Campaign Sàn &amp; Tăng trưởng Doanh số</t>
  </si>
  <si>
    <t xml:space="preserve">Vận hành flash/mega sale, voucher, quảng cáo sàn (ROAS/ACOS), hoạt động tăng trưởng có đo.</t>
  </si>
  <si>
    <t xml:space="preserve">N4</t>
  </si>
  <si>
    <t xml:space="preserve">Ứng dụng AI vào Vận hành (kiêm AI)</t>
  </si>
  <si>
    <t xml:space="preserve">Dùng AI tối ưu listing/SEO &amp; nội dung, phân tích dữ liệu, tự động hóa bước lặp, hỗ trợ CSKH.</t>
  </si>
  <si>
    <t xml:space="preserve">N5</t>
  </si>
  <si>
    <t xml:space="preserve">Phân tích Dữ liệu, Chỉ số Gian hàng &amp; Báo cáo</t>
  </si>
  <si>
    <t xml:space="preserve">13%</t>
  </si>
  <si>
    <t xml:space="preserve">Theo dõi traffic/conversion/doanh số/tồn/đánh giá; báo cáo chính xác, có insight &amp; action.</t>
  </si>
  <si>
    <t xml:space="preserve">N6</t>
  </si>
  <si>
    <t xml:space="preserve">Tư duy &amp; Thái độ (Data-driven, Tuân thủ sàn, Kỷ luật)</t>
  </si>
  <si>
    <t xml:space="preserve">8%</t>
  </si>
  <si>
    <t xml:space="preserve">Ra quyết định bằng dữ liệu; tuân thủ chính sách sàn &amp; giữ sức khỏe shop; action ≤ 48h khi miss KPI.</t>
  </si>
  <si>
    <t xml:space="preserve">▌ VII. QUYỀN HẠN &amp; GIỚI HẠN THẨM QUYỀN</t>
  </si>
  <si>
    <t xml:space="preserve">Cột XANH ✅ = tự quyết, chịu trách nhiệm toàn bộ kết quả.   Cột CAM ⚠️ = PHẢI BÁO CÁO hoặc XIN PHÊ DUYỆT trước khi hành động — vi phạm = vi phạm kỷ luật.</t>
  </si>
  <si>
    <t xml:space="preserve">✅  ĐƯỢC PHÉP TỰ QUYẾT ĐỊNH</t>
  </si>
  <si>
    <t xml:space="preserve">⚠️  PHẢI BÁO CÁO / XIN PHÊ DUYỆT TRƯỚC</t>
  </si>
  <si>
    <t xml:space="preserve">THẨM QUYỀN PHÊ DUYỆT</t>
  </si>
  <si>
    <t xml:space="preserve">LISTING, GIÁ &amp; CAMPAIGN</t>
  </si>
  <si>
    <t xml:space="preserve">✅  Đăng/sửa listing &amp; tối ưu SEO sàn trong khung sản phẩm &amp; giá đã duyệt</t>
  </si>
  <si>
    <t xml:space="preserve">⚠️  Thay đổi giá niêm yết/chính sách giá lớn; ra mắt SP mới trên sàn</t>
  </si>
  <si>
    <t xml:space="preserve">✅  Đăng ký &amp; set up campaign sàn (flash/voucher/deal) trong kế hoạch &amp; ngân sách được giao</t>
  </si>
  <si>
    <t xml:space="preserve">⚠️  Cam kết ngân sách khuyến mãi/quảng cáo lớn; chương trình giảm sâu ngoài khung</t>
  </si>
  <si>
    <t xml:space="preserve">TN/TP TMĐT + Kế toán</t>
  </si>
  <si>
    <t xml:space="preserve">QUẢNG CÁO, AI &amp; TỰ ĐỘNG HÓA</t>
  </si>
  <si>
    <t xml:space="preserve">✅  Chạy &amp; tối ưu quảng cáo sàn (Ads/đấu thầu từ khóa) trong ngân sách được giao</t>
  </si>
  <si>
    <t xml:space="preserve">⚠️  Tăng ngân sách quảng cáo vượt ngưỡng; cam kết ngoài kế hoạch</t>
  </si>
  <si>
    <t xml:space="preserve">✅  Dùng công cụ AI tối ưu listing/nội dung/phân tích &amp; tự động hóa trong danh mục được duyệt</t>
  </si>
  <si>
    <t xml:space="preserve">⚠️  Triển khai chatbot/tự động trả lời khách diện rộng; dùng dữ liệu khách ngoài quy định</t>
  </si>
  <si>
    <t xml:space="preserve">TN/TP TMĐT + IT</t>
  </si>
  <si>
    <t xml:space="preserve">ĐƠN HÀNG, TỒN &amp; RỦI RO</t>
  </si>
  <si>
    <t xml:space="preserve">✅  Xử lý đơn/hoàn/hủy &amp; đồng bộ tồn theo quy trình &amp; chính sách sàn</t>
  </si>
  <si>
    <t xml:space="preserve">⚠️  Điều chỉnh tồn/hủy đơn hàng loạt; xử lý khiếu nại lớn/bồi thường</t>
  </si>
  <si>
    <t xml:space="preserve">✅  Phản hồi đánh giá &amp; CSKH theo kịch bản; báo cáo bất thường</t>
  </si>
  <si>
    <t xml:space="preserve">⚠️  Xử lý khủng hoảng đánh giá/khiếu nại nghiêm trọng; làm việc với sàn về vi phạm</t>
  </si>
  <si>
    <t xml:space="preserve">▌ VIII. LỘ TRÌNH PHÁT TRIỂN</t>
  </si>
  <si>
    <t xml:space="preserve">GIAI ĐOẠN</t>
  </si>
  <si>
    <t xml:space="preserve">VỊ TRÍ TIẾP THEO</t>
  </si>
  <si>
    <t xml:space="preserve">ĐIỀU KIỆN THĂNG TIẾN</t>
  </si>
  <si>
    <t xml:space="preserve">KPI CHỨNG MINH</t>
  </si>
  <si>
    <t xml:space="preserve">NGƯỜI PHÊ DUYỆT</t>
  </si>
  <si>
    <t xml:space="preserve">THỜI GIAN</t>
  </si>
  <si>
    <t xml:space="preserve">Hiện tại</t>
  </si>
  <si>
    <t xml:space="preserve">Chuyên viên Vận hành Sàn TMĐT (kiêm Ứng dụng AI)</t>
  </si>
  <si>
    <t xml:space="preserve">Đang đảm nhận vị trí</t>
  </si>
  <si>
    <t xml:space="preserve">Doanh số &amp; sức khỏe gian hàng ≥ KH; vận hành mượt; AI tăng năng suất; 0 vi phạm chính sách sàn</t>
  </si>
  <si>
    <t xml:space="preserve">Đang triển khai</t>
  </si>
  <si>
    <t xml:space="preserve">12–18 tháng</t>
  </si>
  <si>
    <t xml:space="preserve">CV Vận hành Sàn Senior / Phụ trách 1 sàn chủ lực</t>
  </si>
  <si>
    <t xml:space="preserve">Doanh số &amp; hiệu quả ≥ 110% KH; tự chủ vận hành &amp; AI; làm chủ campaign</t>
  </si>
  <si>
    <t xml:space="preserve">Doanh số +15% YoY; ROAS/ACOS tốt</t>
  </si>
  <si>
    <t xml:space="preserve">18–36 tháng</t>
  </si>
  <si>
    <t xml:space="preserve">Trưởng nhóm TMĐT / E-commerce Lead</t>
  </si>
  <si>
    <t xml:space="preserve">Tố chất dẫn dắt; chuẩn hóa quy trình vận hành-AI; kèm được NV mới</t>
  </si>
  <si>
    <t xml:space="preserve">Quản 1 nhóm/đa sàn; KPI nhóm đạt</t>
  </si>
  <si>
    <t xml:space="preserve">TP TMĐT/KD</t>
  </si>
  <si>
    <t xml:space="preserve">2–3 năm</t>
  </si>
  <si>
    <t xml:space="preserve">36 tháng+</t>
  </si>
  <si>
    <t xml:space="preserve">Phụ trách TMĐT / E-commerce Manager</t>
  </si>
  <si>
    <t xml:space="preserve">Năng lực quản trị mảng TMĐT đa sàn &amp; tăng trưởng</t>
  </si>
  <si>
    <t xml:space="preserve">Kết quả mảng bền vững</t>
  </si>
  <si>
    <t xml:space="preserve">GĐ KD/MKT</t>
  </si>
  <si>
    <t xml:space="preserve">3+ năm</t>
  </si>
  <si>
    <t xml:space="preserve">▌ IX. XÁC NHẬN &amp; HIỆU LỰC</t>
  </si>
  <si>
    <t xml:space="preserve">Tài liệu nội bộ – CTCP Hùng Phát  |  Không phổ biến ra ngoài  |  Lưu trữ tại HR &amp; CV Vận hành Sàn</t>
  </si>
  <si>
    <t xml:space="preserve">NGƯỜI ĐƯỢC BỔ NHIỆM (Đọc, hiểu &amp; cam kết)</t>
  </si>
  <si>
    <t xml:space="preserve">GĐHR XÁC NHẬN (Đúng khung NL &amp; quy trình)</t>
  </si>
  <si>
    <t xml:space="preserve">TN / TP TMĐT PHÊ DUYỆT (Ký &amp; đóng dấu)</t>
  </si>
  <si>
    <t xml:space="preserve">Họ tên: ____________________
Chức danh: Chuyên viên Vận hành Sàn TMĐT (kiêm Ứng dụng AI)
Ngày ký: ___/___/______</t>
  </si>
  <si>
    <t xml:space="preserve">Họ tên: ____________________
Chức danh: Giám đốc HR
Ngày ký: ___/___/______</t>
  </si>
  <si>
    <t xml:space="preserve">Họ tên: ____________________
Chức danh: TN / TP TMĐT
Ngày ký: ___/___/______</t>
  </si>
  <si>
    <t xml:space="preserve">Ngày hiệu lực của JD này: ___/___/______    |    Kỳ review tiếp theo: ___/___/______    |    Người lưu trữ: GĐHR</t>
  </si>
  <si>
    <t xml:space="preserve">KHUNG NĂNG LỰC – CHUYÊN VIÊN VẬN HÀNH SÀN TMĐT (KIÊM ỨNG DỤNG AI)</t>
  </si>
  <si>
    <t xml:space="preserve">CTCP Hùng Phát | 6 Nhóm NL | Trọng số theo vị trí | Thang 4 cấp</t>
  </si>
  <si>
    <t xml:space="preserve">▌ THANG 4 CẤP &amp; TRỌNG SỐ</t>
  </si>
  <si>
    <t xml:space="preserve">NHÓM NĂNG LỰC</t>
  </si>
  <si>
    <t xml:space="preserve">MỤC TIÊU 6 THÁNG</t>
  </si>
  <si>
    <t xml:space="preserve">MỤC TIÊU 1 NĂM</t>
  </si>
  <si>
    <t xml:space="preserve">Cấp 3-4</t>
  </si>
  <si>
    <t xml:space="preserve">TỔNG</t>
  </si>
  <si>
    <t xml:space="preserve">100%</t>
  </si>
  <si>
    <t xml:space="preserve">Điểm ≥ 3.0 để đạt</t>
  </si>
  <si>
    <t xml:space="preserve">Điểm ≥ 3.3 sau 6T</t>
  </si>
  <si>
    <t xml:space="preserve">Điểm ≥ 3.5 sau 1 năm</t>
  </si>
  <si>
    <t xml:space="preserve">▌ MÔ TẢ HÀNH VI 4 CẤP THEO NHÓM NĂNG LỰC</t>
  </si>
  <si>
    <t xml:space="preserve">TIÊU CHÍ</t>
  </si>
  <si>
    <t xml:space="preserve">CẤP 1 – Cần phát triển ❌</t>
  </si>
  <si>
    <t xml:space="preserve">CẤP 2 – Đang phát triển ⚠️</t>
  </si>
  <si>
    <t xml:space="preserve">CẤP 3 – Đạt yêu cầu ✅</t>
  </si>
  <si>
    <t xml:space="preserve">CẤP 4 – Xuất sắc ⭐</t>
  </si>
  <si>
    <t xml:space="preserve">NHÓM N1 – VẬN HÀNH GIAN HÀNG &amp; QUẢN LÝ LISTING (25%)</t>
  </si>
  <si>
    <t xml:space="preserve">Vận hành gian hàng đa sàn</t>
  </si>
  <si>
    <t xml:space="preserve">Gian hàng thiếu/sai cấu hình; không nắm trình quản lý.</t>
  </si>
  <si>
    <t xml:space="preserve">Vận hành cơ bản nhưng còn sai sót.</t>
  </si>
  <si>
    <t xml:space="preserve">Vận hành gian hàng đa sàn đầy đủ &amp; chuẩn; 0 sự cố cấu hình lớn.</t>
  </si>
  <si>
    <t xml:space="preserve">Tối ưu trải nghiệm gian hàng; làm chủ tính năng từng sàn.</t>
  </si>
  <si>
    <t xml:space="preserve">Đăng &amp; quản lý listing</t>
  </si>
  <si>
    <t xml:space="preserve">Listing thiếu thông tin/sai chuẩn; vi phạm sàn.</t>
  </si>
  <si>
    <t xml:space="preserve">Đăng được nhưng chưa tối ưu/đôi khi thiếu.</t>
  </si>
  <si>
    <t xml:space="preserve">100% SP đăng đúng chuẩn &amp; đủ thông tin; 0 listing vi phạm.</t>
  </si>
  <si>
    <t xml:space="preserve">Listing chất lượng cao, hấp dẫn &amp; chuẩn SEO; mẫu cho cả shop.</t>
  </si>
  <si>
    <t xml:space="preserve">Tối ưu SEO &amp; hiển thị sàn</t>
  </si>
  <si>
    <t xml:space="preserve">Không tối ưu; traffic phụ thuộc may rủi.</t>
  </si>
  <si>
    <t xml:space="preserve">Có tối ưu cơ bản nhưng chưa hệ thống.</t>
  </si>
  <si>
    <t xml:space="preserve">Tối ưu từ khóa/tiêu đề/thuộc tính; traffic/ranking ≥ KH.</t>
  </si>
  <si>
    <t xml:space="preserve">SP chủ lực lên top tìm kiếm; tăng traffic tự nhiên bền vững.</t>
  </si>
  <si>
    <t xml:space="preserve">NHÓM N2 – QUẢN TRỊ ĐƠN HÀNG, TỒN KHO &amp; GIAO VẬN (18%)</t>
  </si>
  <si>
    <t xml:space="preserve">Xử lý đơn đúng hạn</t>
  </si>
  <si>
    <t xml:space="preserve">Đơn quá hạn/sai sót; ảnh hưởng điểm shop.</t>
  </si>
  <si>
    <t xml:space="preserve">Xử lý được nhưng đôi khi trễ.</t>
  </si>
  <si>
    <t xml:space="preserve">Xử lý đơn đúng &amp; đúng hạn ≥ KH; 0 đơn quá hạn do lỗi.</t>
  </si>
  <si>
    <t xml:space="preserve">Vận hành đơn mượt kể cả cao điểm; tối ưu thời gian xử lý.</t>
  </si>
  <si>
    <t xml:space="preserve">Đồng bộ &amp; kiểm soát tồn</t>
  </si>
  <si>
    <t xml:space="preserve">Sai tồn; oversell/hủy đơn; mất uy tín.</t>
  </si>
  <si>
    <t xml:space="preserve">Kiểm soát cơ bản; đôi khi lệch tồn.</t>
  </si>
  <si>
    <t xml:space="preserve">Tồn khớp sàn vs kho; 0 oversell/hủy do sai tồn.</t>
  </si>
  <si>
    <t xml:space="preserve">Chủ động cảnh báo hết hàng &amp; phối hợp nhập; 0 gián đoạn bán.</t>
  </si>
  <si>
    <t xml:space="preserve">Hoàn/hủy/khiếu nại</t>
  </si>
  <si>
    <t xml:space="preserve">Xử lý sai chính sách; tỷ lệ hủy/hoàn cao.</t>
  </si>
  <si>
    <t xml:space="preserve">Xử lý được nhưng chậm/chưa chuẩn.</t>
  </si>
  <si>
    <t xml:space="preserve">Tỷ lệ hủy/hoàn trong ngưỡng; khiếu nại xử lý đúng hạn &amp; chính sách.</t>
  </si>
  <si>
    <t xml:space="preserve">Giảm hủy/hoàn qua cải tiến; xử lý khéo giữ khách &amp; điểm shop.</t>
  </si>
  <si>
    <t xml:space="preserve">NHÓM N3 – CAMPAIGN SÀN &amp; TĂNG TRƯỞNG DOANH SỐ (18%)</t>
  </si>
  <si>
    <t xml:space="preserve">Vận hành campaign sàn</t>
  </si>
  <si>
    <t xml:space="preserve">Bỏ lỡ/đăng ký trễ campaign; set up sai.</t>
  </si>
  <si>
    <t xml:space="preserve">Tham gia được nhưng chưa tối ưu.</t>
  </si>
  <si>
    <t xml:space="preserve">Đăng ký &amp; set up campaign đúng hạn; doanh số campaign ≥ KH.</t>
  </si>
  <si>
    <t xml:space="preserve">Khai thác tối đa campaign sàn; doanh số bứt phá đợt sale.</t>
  </si>
  <si>
    <t xml:space="preserve">Quảng cáo sàn (ROAS/ACOS)</t>
  </si>
  <si>
    <t xml:space="preserve">Không/chạy ads kém hiệu quả; lãng phí ngân sách.</t>
  </si>
  <si>
    <t xml:space="preserve">Chạy được nhưng chưa tối ưu ROAS/ACOS.</t>
  </si>
  <si>
    <t xml:space="preserve">Ads sàn đạt ROAS/ACOS ≥ KH; chi trong ngân sách.</t>
  </si>
  <si>
    <t xml:space="preserve">Tối ưu ads sâu theo từ khóa/SP; hiệu quả vượt trội.</t>
  </si>
  <si>
    <t xml:space="preserve">Tăng trưởng (livestream/affiliate/KOC)</t>
  </si>
  <si>
    <t xml:space="preserve">Không khai thác kênh tăng trưởng.</t>
  </si>
  <si>
    <t xml:space="preserve">Triển khai khi được giao; chưa đo.</t>
  </si>
  <si>
    <t xml:space="preserve">Triển khai hoạt động tăng trưởng đúng kế hoạch &amp; có đo hiệu quả.</t>
  </si>
  <si>
    <t xml:space="preserve">Chủ động đề xuất &amp; nhân kênh tăng trưởng hiệu quả.</t>
  </si>
  <si>
    <t xml:space="preserve">NHÓM N4 – ỨNG DỤNG AI VÀO VẬN HÀNH (KIÊM AI) (18%)</t>
  </si>
  <si>
    <t xml:space="preserve">AI cho listing/SEO &amp; nội dung</t>
  </si>
  <si>
    <t xml:space="preserve">Không dùng AI; làm listing thủ công chậm.</t>
  </si>
  <si>
    <t xml:space="preserve">Dùng AI lác đác cho nội dung.</t>
  </si>
  <si>
    <t xml:space="preserve">Dùng AI tối ưu listing/SEO &amp; tạo mô tả; năng suất tăng ≥ KH, đạt chuẩn.</t>
  </si>
  <si>
    <t xml:space="preserve">Khai thác AI bài bản; rút ngắn mạnh thời gian &amp; nâng chất lượng listing.</t>
  </si>
  <si>
    <t xml:space="preserve">AI phân tích dữ liệu</t>
  </si>
  <si>
    <t xml:space="preserve">Không dùng dữ liệu/AI để quyết định.</t>
  </si>
  <si>
    <t xml:space="preserve">Có dùng nhưng phân tích nông.</t>
  </si>
  <si>
    <t xml:space="preserve">Dùng AI phân tích (giá/đối thủ/xu hướng) hỗ trợ ≥ 1 quyết định/chu kỳ.</t>
  </si>
  <si>
    <t xml:space="preserve">Phân tích AI dẫn dắt quyết định vận hành; dự báo &amp; tối ưu chủ động.</t>
  </si>
  <si>
    <t xml:space="preserve">Tự động hóa &amp; chatbot CSKH</t>
  </si>
  <si>
    <t xml:space="preserve">Mọi thứ làm tay; không tự động hóa.</t>
  </si>
  <si>
    <t xml:space="preserve">Thử tự động hóa nhỏ; chưa hiệu quả.</t>
  </si>
  <si>
    <t xml:space="preserve">Tự động hóa ≥ 1 quy trình lặp; AI hỗ trợ trả lời đúng &amp; an toàn.</t>
  </si>
  <si>
    <t xml:space="preserve">Hệ thống tự động hóa &amp; chatbot tối ưu; tiết kiệm thời gian rõ rệt.</t>
  </si>
  <si>
    <t xml:space="preserve">NHÓM N5 – PHÂN TÍCH DỮ LIỆU, CHỈ SỐ GIAN HÀNG &amp; BÁO CÁO (13%)</t>
  </si>
  <si>
    <t xml:space="preserve">Theo dõi chỉ số gian hàng</t>
  </si>
  <si>
    <t xml:space="preserve">Không nhìn chỉ số; không biết shop tốt/xấu.</t>
  </si>
  <si>
    <t xml:space="preserve">Có xem nhưng không hành động.</t>
  </si>
  <si>
    <t xml:space="preserve">Theo dõi traffic/conversion/doanh số/tồn/đánh giá; phát hiện &amp; xử lý suy giảm kịp.</t>
  </si>
  <si>
    <t xml:space="preserve">Đọc sâu chỉ số &amp; hành vi; chủ động hành động tăng trưởng.</t>
  </si>
  <si>
    <t xml:space="preserve">Báo cáo &amp; insight</t>
  </si>
  <si>
    <t xml:space="preserve">Báo cáo trễ/thiếu; không insight.</t>
  </si>
  <si>
    <t xml:space="preserve">Báo cáo đủ nhưng phân tích nông.</t>
  </si>
  <si>
    <t xml:space="preserve">Báo cáo đúng hạn, số liệu chính xác; có insight &amp; action.</t>
  </si>
  <si>
    <t xml:space="preserve">Báo cáo dẫn dắt quyết định; đề xuất chiến lược vận hành sàn.</t>
  </si>
  <si>
    <t xml:space="preserve">NHÓM N6 – TƯ DUY &amp; THÁI ĐỘ (DATA-DRIVEN, TUÂN THỦ SÀN, KỶ LUẬT) (8%)</t>
  </si>
  <si>
    <t xml:space="preserve">Data-driven &amp; học hỏi</t>
  </si>
  <si>
    <t xml:space="preserve">Quyết định cảm tính; ngại công cụ/AI mới.</t>
  </si>
  <si>
    <t xml:space="preserve">Dùng dữ liệu cơ bản; cập nhật chậm.</t>
  </si>
  <si>
    <t xml:space="preserve">Ra quyết định bằng dữ liệu; chủ động học công cụ AI &amp; tính năng sàn mới.</t>
  </si>
  <si>
    <t xml:space="preserve">Chuẩn mực data-driven; đón đầu công cụ &amp; xu hướng sàn.</t>
  </si>
  <si>
    <t xml:space="preserve">Tuân thủ chính sách sàn &amp; kỷ luật</t>
  </si>
  <si>
    <t xml:space="preserve">Coi nhẹ chính sách sàn; gây phạt/khóa shop.</t>
  </si>
  <si>
    <t xml:space="preserve">Cơ bản tuân thủ nhưng đôi lúc lơ là.</t>
  </si>
  <si>
    <t xml:space="preserve">Tuân thủ chính sách từng sàn; giữ điểm sức khỏe shop; miss KPI action ≤ 48h.</t>
  </si>
  <si>
    <t xml:space="preserve">Nắm vững &amp; cập nhật chính sách; phòng rủi ro shop chủ động.</t>
  </si>
  <si>
    <t xml:space="preserve">PHIẾU ĐÁNH GIÁ NĂNG LỰC – CHUYÊN VIÊN VẬN HÀNH SÀN TMĐT (KIÊM ỨNG DỤNG AI)</t>
  </si>
  <si>
    <t xml:space="preserve">CTCP Hùng Phát | Đánh giá định kỳ: Đầu vào / Quý / Cuối năm</t>
  </si>
  <si>
    <t xml:space="preserve">▌ THÔNG TIN</t>
  </si>
  <si>
    <t xml:space="preserve">Họ và tên:___________________________   Mã NV: ___________</t>
  </si>
  <si>
    <t xml:space="preserve">Chức danh: Chuyên viên Vận hành Sàn TMĐT (kiêm Ứng dụng AI)   Bộ phận: TMĐT</t>
  </si>
  <si>
    <t xml:space="preserve">Ngày đánh giá: ___/___/______   Người đánh giá: _____________   Vị trí: TN/TP TMĐT</t>
  </si>
  <si>
    <t xml:space="preserve">Kỳ đánh giá: □ Đầu vào   □ Quý 1   □ Quý 2   □ Quý 3   □ Cuối năm</t>
  </si>
  <si>
    <t xml:space="preserve">▌ HƯỚNG DẪN: Ghi số cấp (1-4) vào cột 'Cấp hiện tại' + bằng chứng cụ thể quan sát được. Điểm ≥ 3.0 = Đạt yêu cầu vị trí CV Vận hành Sàn.</t>
  </si>
  <si>
    <t xml:space="preserve">TIÊU CHÍ ĐÁNH GIÁ</t>
  </si>
  <si>
    <t xml:space="preserve">BẰNG CHỨNG / VÍ DỤ QUAN SÁT ĐƯỢC</t>
  </si>
  <si>
    <t xml:space="preserve">CẤP (1-4)</t>
  </si>
  <si>
    <t xml:space="preserve">HÀNH ĐỘNG PHÁT TRIỂN</t>
  </si>
  <si>
    <t xml:space="preserve">NHÓM N1 – VẬN HÀNH GIAN HÀNG &amp; QUẢN LÝ LISTING (Trọng số 25%)</t>
  </si>
  <si>
    <t xml:space="preserve">1.1  Vận hành gian hàng đa sàn</t>
  </si>
  <si>
    <t xml:space="preserve">1.2  Đăng &amp; quản lý listing</t>
  </si>
  <si>
    <t xml:space="preserve">1.3  Tối ưu SEO &amp; hiển thị sàn</t>
  </si>
  <si>
    <t xml:space="preserve">→</t>
  </si>
  <si>
    <t xml:space="preserve">ĐIỂM TRUNG BÌNH NHÓM N1</t>
  </si>
  <si>
    <t xml:space="preserve">_____ / 4.0</t>
  </si>
  <si>
    <t xml:space="preserve">NHÓM N2 – QUẢN TRỊ ĐƠN HÀNG, TỒN KHO &amp; GIAO VẬN (Trọng số 18%)</t>
  </si>
  <si>
    <t xml:space="preserve">2.1  Xử lý đơn đúng hạn</t>
  </si>
  <si>
    <t xml:space="preserve">2.2  Đồng bộ &amp; kiểm soát tồn</t>
  </si>
  <si>
    <t xml:space="preserve">2.3  Hoàn/hủy/khiếu nại</t>
  </si>
  <si>
    <t xml:space="preserve">ĐIỂM TRUNG BÌNH NHÓM N2</t>
  </si>
  <si>
    <t xml:space="preserve">NHÓM N3 – CAMPAIGN SÀN &amp; TĂNG TRƯỞNG DOANH SỐ (Trọng số 18%)</t>
  </si>
  <si>
    <t xml:space="preserve">3.1  Vận hành campaign sàn</t>
  </si>
  <si>
    <t xml:space="preserve">3.2  Quảng cáo sàn (ROAS/ACOS)</t>
  </si>
  <si>
    <t xml:space="preserve">3.3  Tăng trưởng (livestream/affiliate/KOC)</t>
  </si>
  <si>
    <t xml:space="preserve">ĐIỂM TRUNG BÌNH NHÓM N3</t>
  </si>
  <si>
    <t xml:space="preserve">NHÓM N4 – ỨNG DỤNG AI VÀO VẬN HÀNH (Trọng số 18%)</t>
  </si>
  <si>
    <t xml:space="preserve">4.1  AI cho listing/SEO &amp; nội dung</t>
  </si>
  <si>
    <t xml:space="preserve">4.2  AI phân tích dữ liệu</t>
  </si>
  <si>
    <t xml:space="preserve">4.3  Tự động hóa &amp; chatbot CSKH</t>
  </si>
  <si>
    <t xml:space="preserve">ĐIỂM TRUNG BÌNH NHÓM N4</t>
  </si>
  <si>
    <t xml:space="preserve">NHÓM N5 – PHÂN TÍCH DỮ LIỆU, CHỈ SỐ &amp; BÁO CÁO (Trọng số 13%)</t>
  </si>
  <si>
    <t xml:space="preserve">5.1  Theo dõi chỉ số gian hàng</t>
  </si>
  <si>
    <t xml:space="preserve">5.2  Báo cáo &amp; insight</t>
  </si>
  <si>
    <t xml:space="preserve">ĐIỂM TRUNG BÌNH NHÓM N5</t>
  </si>
  <si>
    <t xml:space="preserve">NHÓM N6 – TƯ DUY &amp; THÁI ĐỘ (DATA-DRIVEN, TUÂN THỦ SÀN, KỶ LUẬT) (Trọng số 8%)</t>
  </si>
  <si>
    <t xml:space="preserve">6.1  Data-driven &amp; học hỏi</t>
  </si>
  <si>
    <t xml:space="preserve">6.2  Tuân thủ chính sách sàn &amp; kỷ luật</t>
  </si>
  <si>
    <t xml:space="preserve">ĐIỂM TRUNG BÌNH NHÓM N6</t>
  </si>
  <si>
    <t xml:space="preserve">▌ TỔNG KẾT ĐÁNH GIÁ</t>
  </si>
  <si>
    <t xml:space="preserve">ĐIỂM TỔNG HỢP CÓ TRỌNG SỐ: N1×25% + N2×18% + N3×18% + N4×18% + N5×13% + N6×8% = _____ / 4.0</t>
  </si>
  <si>
    <t xml:space="preserve">XẾP LOẠI:  □ Cần phát triển (&lt; 1.5)   □ Đang phát triển (1.5–2.49)   □ Đạt yêu cầu (2.5–3.49)   □ Xuất sắc (≥ 3.5)</t>
  </si>
  <si>
    <t xml:space="preserve">ĐIỂM MẠNH CẦN PHÁT HUY: ___________________________________________</t>
  </si>
  <si>
    <t xml:space="preserve">ĐIỂM CẦN CẢI THIỆN NGAY (ưu tiên top 1-2): _____________________________</t>
  </si>
  <si>
    <t xml:space="preserve">KẾ HOẠCH PHÁT TRIỂN 6 THÁNG TỚI: _____________________________________</t>
  </si>
  <si>
    <t xml:space="preserve">Người được đánh giá ký:_______________   Người đánh giá ký:_______________   Ngày: ___/___/______</t>
  </si>
  <si>
    <t xml:space="preserve">BỘ CÂU HỎI PHỎNG VẤN STAR – CHUYÊN VIÊN VẬN HÀNH SÀN TMĐT (KIÊM ỨNG DỤNG AI)</t>
  </si>
  <si>
    <t xml:space="preserve">CTCP Hùng Phát | Panel 1–2 người | TN/TP TMĐT + (tùy chọn) Media/IT</t>
  </si>
  <si>
    <t xml:space="preserve">Hội đồng PV: TN/TP TMĐT + (tùy chọn) Media/IT. Thời gian: 45–60 phút. YÊU CẦU SỐ LIỆU THỰC (gian hàng/SP đã vận hành, doanh số, sàn). Đánh giá tay nghề HANDS-ON (vận hành thực) &amp; cách ỨNG DỤNG AI. Điểm ≥ 3.0 để đạt.</t>
  </si>
  <si>
    <t xml:space="preserve">CÂU HỎI PHỎNG VẤN (STAR)</t>
  </si>
  <si>
    <t xml:space="preserve">HƯỚNG DẪN ĐÁNH GIÁ &amp; CỜ ĐỎ</t>
  </si>
  <si>
    <t xml:space="preserve">ĐIỂM (1-4)</t>
  </si>
  <si>
    <t xml:space="preserve">GHI CHÚ QUAN SÁT</t>
  </si>
  <si>
    <t xml:space="preserve">N1/N2 – VẬN HÀNH (QUAN TRỌNG)</t>
  </si>
  <si>
    <t xml:space="preserve">Kể về gian hàng/sàn bạn đã vận hành: bạn quản lý listing, đơn, tồn &amp; campaign thế nào? Kết quả (doanh số/chỉ số)?</t>
  </si>
  <si>
    <t xml:space="preserve">Tìm: Hands-on thực, hiểu vận hành end-to-end, có số liệu.
🚩 Cờ đỏ: Chỉ lý thuyết | Không có số | Chưa vận hành thực</t>
  </si>
  <si>
    <t xml:space="preserve">Gian hàng bị tụt doanh số/điểm shop. Bạn chẩn đoán &amp; xử lý theo bước nào?</t>
  </si>
  <si>
    <t xml:space="preserve">Tìm: Quy trình chẩn đoán (traffic/conversion/listing/giá/đánh giá), xử lý có logic.
🚩 Cờ đỏ: Đoán mò | Không nhìn chỉ số | Đổ lỗi sàn</t>
  </si>
  <si>
    <t xml:space="preserve">N4 – AI (KIÊM AI)</t>
  </si>
  <si>
    <t xml:space="preserve">Bạn dùng AI vào vận hành sàn thế nào (listing/SEO, nội dung, phân tích, tự động hóa)? Cho ví dụ cụ thể giúp tăng năng suất/hiệu quả.</t>
  </si>
  <si>
    <t xml:space="preserve">Tìm: Thực sự ứng dụng AI, tăng năng suất thực, có ví dụ.
🚩 Cờ đỏ: Không dùng AI | Mơ hồ | Phụ thuộc AI mù quáng</t>
  </si>
  <si>
    <t xml:space="preserve">Nếu phải tối ưu 200 listing và phân tích giá đối thủ trong thời gian ngắn, bạn dùng AI &amp; quy trình nào để làm nhanh mà vẫn chuẩn?</t>
  </si>
  <si>
    <t xml:space="preserve">Tìm: Khai thác AI/tự động hóa, quy trình, kiểm soát chất lượng.
🚩 Cờ đỏ: Nói 'không thể' | Làm tay hết | Bỏ chất lượng</t>
  </si>
  <si>
    <t xml:space="preserve">N3/N5 – CAMPAIGN &amp; DỮ LIỆU</t>
  </si>
  <si>
    <t xml:space="preserve">Bạn chuẩn bị &amp; vận hành một đợt flash/mega sale thế nào để tối đa doanh số mà giữ tồn &amp; vận hành ổn?</t>
  </si>
  <si>
    <t xml:space="preserve">Tìm: Lập kế hoạch campaign, giá/khuyến mãi, tồn, vận hành đơn cao điểm.
🚩 Cờ đỏ: Không chuẩn bị | Bỏ qua tồn/vận hành</t>
  </si>
  <si>
    <t xml:space="preserve">Bạn theo dõi &amp; dùng chỉ số gian hàng nào để ra quyết định (giá/listing/ads)? ROAS/ACOS bạn từng đạt?</t>
  </si>
  <si>
    <t xml:space="preserve">Tìm: Đọc chỉ số, ra quyết định bằng dữ liệu, có số ads.
🚩 Cờ đỏ: Không nhìn chỉ số | Không biết ROAS/ACOS</t>
  </si>
  <si>
    <t xml:space="preserve">N6 – TUÂN THỦ &amp; THÁI ĐỘ</t>
  </si>
  <si>
    <t xml:space="preserve">7</t>
  </si>
  <si>
    <t xml:space="preserve">Chính sách sàn liên tục đổi &amp; shop dễ bị phạt/khóa. Bạn cập nhật &amp; phòng rủi ro thế nào?</t>
  </si>
  <si>
    <t xml:space="preserve">Tìm: Nắm &amp; cập nhật chính sách, giữ sức khỏe shop, phòng rủi ro.
🚩 Cờ đỏ: Không nắm chính sách | Từng bị khóa do ẩu</t>
  </si>
  <si>
    <t xml:space="preserve">8</t>
  </si>
  <si>
    <t xml:space="preserve">Một đánh giá 1 sao sai sự thật ảnh hưởng SP bán chạy. Bạn xử lý thế nào?</t>
  </si>
  <si>
    <t xml:space="preserve">Tìm: Xử lý đánh giá đúng quy trình sàn, CSKH khéo, giữ rating.
🚩 Cờ đỏ: Cãi khách | Bỏ mặc | Làm sai chính sách</t>
  </si>
  <si>
    <t xml:space="preserve">SCORE CARD TUYỂN DỤNG – CHUYÊN VIÊN VẬN HÀNH SÀN TMĐT (KIÊM ỨNG DỤNG AI)</t>
  </si>
  <si>
    <t xml:space="preserve">CTCP Hùng Phát | Panel ≥ 3 người</t>
  </si>
  <si>
    <t xml:space="preserve">▌ THÔNG TIN ỨNG VIÊN</t>
  </si>
  <si>
    <t xml:space="preserve">Họ tên:</t>
  </si>
  <si>
    <t xml:space="preserve">Ngày PV:</t>
  </si>
  <si>
    <t xml:space="preserve">Người PV:</t>
  </si>
  <si>
    <t xml:space="preserve">Vị trí: Chuyên viên Vận hành Sàn TMĐT (kiêm Ứng dụng AI) – HungPhat</t>
  </si>
  <si>
    <t xml:space="preserve">▌ BẢNG ĐIỂM NĂNG LỰC</t>
  </si>
  <si>
    <t xml:space="preserve">ĐIỂM TRỌNG SỐ</t>
  </si>
  <si>
    <t xml:space="preserve">MỨC ĐẠT TỐI THIỂU</t>
  </si>
  <si>
    <t xml:space="preserve">NHẬN XÉT PANEL</t>
  </si>
  <si>
    <t xml:space="preserve">N1 – Vận hành Gian hàng &amp; Quản lý Listing</t>
  </si>
  <si>
    <t xml:space="preserve">Cấp 3 (3.0)</t>
  </si>
  <si>
    <t xml:space="preserve">N2 – Quản trị Đơn hàng, Tồn kho &amp; Giao vận</t>
  </si>
  <si>
    <t xml:space="preserve">N3 – Campaign Sàn &amp; Tăng trưởng Doanh số</t>
  </si>
  <si>
    <t xml:space="preserve">N4 – Ứng dụng AI vào Vận hành (kiêm AI)</t>
  </si>
  <si>
    <t xml:space="preserve">N5 – Phân tích Dữ liệu, Chỉ số Gian hàng &amp; Báo cáo</t>
  </si>
  <si>
    <t xml:space="preserve">N6 – Tư duy &amp; Thái độ (Data-driven, Tuân thủ sàn, Kỷ luật)</t>
  </si>
  <si>
    <t xml:space="preserve">TỔNG ĐIỂM TRỌNG SỐ</t>
  </si>
  <si>
    <t xml:space="preserve">▌ ĐIỀU KIỆN LOẠI THẲNG</t>
  </si>
  <si>
    <t xml:space="preserve">🚫  Chưa từng tự vận hành gian hàng sàn (chỉ lý thuyết) → Loại — vị trí cần hands-on</t>
  </si>
  <si>
    <t xml:space="preserve">🚫  Điểm N1 (Vận hành) hoặc N4 (Ứng dụng AI) &lt; 3.0 → Loại — vị trí kiêm AI</t>
  </si>
  <si>
    <t xml:space="preserve">🚫  Không/ngại dùng &amp; không chịu học công cụ AI → Loại (vị trí kiêm AI bắt buộc)</t>
  </si>
  <si>
    <t xml:space="preserve">🚫  Không đọc/ra quyết định được từ chỉ số gian hàng → Loại</t>
  </si>
  <si>
    <t xml:space="preserve">🚫  Coi nhẹ chính sách sàn (từng để shop bị khóa/phạt do ẩu) → Cân nhắc kỹ/Loại</t>
  </si>
  <si>
    <t xml:space="preserve">🚫  Tổng điểm trọng số &lt; 2.5 → Loại</t>
  </si>
  <si>
    <t xml:space="preserve">▌ KHUYẾN NGHỊ</t>
  </si>
  <si>
    <t xml:space="preserve">⭐ Điểm ≥ 3.5</t>
  </si>
  <si>
    <t xml:space="preserve">ƯU TIÊN CAO — Nhận ngay; hiếm người vừa vận hành sàn giỏi vừa rành AI</t>
  </si>
  <si>
    <t xml:space="preserve">✅ Điểm 3.0–3.49</t>
  </si>
  <si>
    <t xml:space="preserve">ĐẠT — Nhận được; đào tạo theo lộ trình; kèm sát vận hành/AI 1-2 tháng đầu</t>
  </si>
  <si>
    <t xml:space="preserve">⚠️ Điểm 2.5–2.99</t>
  </si>
  <si>
    <t xml:space="preserve">CÂN NHẮC — Chỉ nếu hands-on vận hành tốt &amp; sẵn sàng học AI mạnh; thử việc rõ KPI</t>
  </si>
  <si>
    <t xml:space="preserve">❌ Điểm &lt; 2.5 hoặc không vận hành/không dùng AI được</t>
  </si>
  <si>
    <t xml:space="preserve">LOẠI — Không phù hợp vị trí CV Vận hành Sàn tại HungPhat</t>
  </si>
  <si>
    <t xml:space="preserve">KẾ HOẠCH 30 – 60 – 90 NGÀY – CHUYÊN VIÊN VẬN HÀNH SÀN TMĐT (KIÊM ỨNG DỤNG AI)</t>
  </si>
  <si>
    <t xml:space="preserve">CTCP Hùng Phát | Cam kết 2 chiều: CV Vận hành Sàn &amp; Công ty</t>
  </si>
  <si>
    <t xml:space="preserve">CV Vận hành Sàn cam kết: Trực tiếp vận hành gian hàng &amp; xử lý đơn đúng hạn · Ứng dụng AI tăng năng suất · Tối ưu listing &amp; campaign theo dữ liệu · Tuân thủ chính sách sàn &amp; giữ sức khỏe shop · Báo cáo trung thực.</t>
  </si>
  <si>
    <t xml:space="preserve">Công ty cam kết: Bàn giao quyền gian hàng các sàn, công cụ AI/dữ liệu, dữ liệu sản phẩm &amp; tồn tuần đầu · TN/TP TMĐT kèm cặp · Hỗ trợ phối hợp Kho/Vận chuyển/Media/Content/CSKH · Ngân sách quảng cáo/campaign rõ ràng.</t>
  </si>
  <si>
    <t xml:space="preserve">TUẦN</t>
  </si>
  <si>
    <t xml:space="preserve">CHỦ ĐỀ</t>
  </si>
  <si>
    <t xml:space="preserve">HÀNH ĐỘNG CỤ THỂ</t>
  </si>
  <si>
    <t xml:space="preserve">NGƯỜI HỖ TRỢ</t>
  </si>
  <si>
    <t xml:space="preserve">HOÀN THÀNH</t>
  </si>
  <si>
    <t xml:space="preserve">GIAI ĐOẠN 1 – 30 NGÀY ĐẦU: HIỂU GIAN HÀNG, SẢN PHẨM, CÔNG CỤ &amp; CHỈ SỐ</t>
  </si>
  <si>
    <t xml:space="preserve">Tuần 1</t>
  </si>
  <si>
    <t xml:space="preserve">Tiếp nhận &amp; Định hướng</t>
  </si>
  <si>
    <t xml:space="preserve">Gặp TN/TP TMĐT: nhận kỳ vọng (doanh số, sức khỏe shop, AI), KPI, thẩm quyền. Nhận quyền gian hàng, công cụ AI/dữ liệu.</t>
  </si>
  <si>
    <t xml:space="preserve">□</t>
  </si>
  <si>
    <t xml:space="preserve">Tuần 2</t>
  </si>
  <si>
    <t xml:space="preserve">Nắm gian hàng, sản phẩm &amp; chính sách sàn</t>
  </si>
  <si>
    <t xml:space="preserve">Rà gian hàng các sàn, danh mục SP, giá/tồn; nắm chính sách &amp; điểm sức khỏe shop từng sàn.</t>
  </si>
  <si>
    <t xml:space="preserve">Tuần 3</t>
  </si>
  <si>
    <t xml:space="preserve">Audit listing, chỉ số &amp; công cụ AI</t>
  </si>
  <si>
    <t xml:space="preserve">Đánh giá listing/SEO, chỉ số gian hàng (traffic/conversion/đánh giá); rà công cụ AI &amp; dữ liệu sẵn có.</t>
  </si>
  <si>
    <t xml:space="preserve">Tuần 4</t>
  </si>
  <si>
    <t xml:space="preserve">Báo cáo 30 ngày</t>
  </si>
  <si>
    <t xml:space="preserve">Hoàn thành đánh giá hiện trạng + top 5 cơ hội (listing, campaign, vận hành, AI). Trình action plan 60-90 ngày.</t>
  </si>
  <si>
    <t xml:space="preserve">DELIVERABLE GIAI ĐOẠN 1 ✅</t>
  </si>
  <si>
    <t xml:space="preserve">Deliverables bắt buộc</t>
  </si>
  <si>
    <t xml:space="preserve">✅ Nắm gian hàng/SP/chính sách &amp; chỉ số từng sàn
✅ Audit listing/SEO &amp; rà công cụ AI/dữ liệu
✅ Top 5 cơ hội + action plan được TN/TP TMĐT duyệt</t>
  </si>
  <si>
    <t xml:space="preserve">GIAI ĐOẠN 2 – 31-60 NGÀY: TỐI ƯU LISTING, AI &amp; VẬN HÀNH</t>
  </si>
  <si>
    <t xml:space="preserve">Tuần 5-6</t>
  </si>
  <si>
    <t xml:space="preserve">Tối ưu listing &amp; SEO sàn (dùng AI)</t>
  </si>
  <si>
    <t xml:space="preserve">Tối ưu tiêu đề/mô tả/từ khóa SP chính bằng AI; chuẩn hóa listing &amp; hình ảnh (phối hợp Thiết kế).</t>
  </si>
  <si>
    <t xml:space="preserve">Tuần 7</t>
  </si>
  <si>
    <t xml:space="preserve">Vận hành đơn-tồn mượt &amp; quy trình AI</t>
  </si>
  <si>
    <t xml:space="preserve">Vào nhịp xử lý đơn đúng hạn, đồng bộ tồn; thiết lập ≥ 1 quy trình AI/tự động hóa hỗ trợ.</t>
  </si>
  <si>
    <t xml:space="preserve">Kho · IT</t>
  </si>
  <si>
    <t xml:space="preserve">Tuần 8</t>
  </si>
  <si>
    <t xml:space="preserve">Tham gia campaign &amp; quảng cáo sàn</t>
  </si>
  <si>
    <t xml:space="preserve">Đăng ký &amp; set up 1 campaign sàn; chạy/tối ưu quảng cáo sàn trong ngân sách.</t>
  </si>
  <si>
    <t xml:space="preserve">DELIVERABLE GIAI ĐOẠN 2 ✅</t>
  </si>
  <si>
    <t xml:space="preserve">✅ Listing SP chính tối ưu (AI) — traffic cải thiện
✅ Vận hành đơn-tồn mượt + ≥ 1 quy trình AI/tự động hóa
✅ Tham gia ≥ 1 campaign + chạy quảng cáo sàn có đo</t>
  </si>
  <si>
    <t xml:space="preserve">GIAI ĐOẠN 3 – 61-90 NGÀY: TĂNG TRƯỞNG, PHÂN TÍCH &amp; CAM KẾT</t>
  </si>
  <si>
    <t xml:space="preserve">Tuần 9-10</t>
  </si>
  <si>
    <t xml:space="preserve">Đẩy doanh số &amp; tối ưu hiệu quả</t>
  </si>
  <si>
    <t xml:space="preserve">Tối ưu campaign/ads (ROAS/ACOS); phối hợp livestream/affiliate (nếu có); dùng AI phân tích giá/đối thủ.</t>
  </si>
  <si>
    <t xml:space="preserve">Media · TN/TP TMĐT</t>
  </si>
  <si>
    <t xml:space="preserve">Tuần 11</t>
  </si>
  <si>
    <t xml:space="preserve">Chuẩn hóa quy trình vận hành-AI cá nhân</t>
  </si>
  <si>
    <t xml:space="preserve">Hệ thống hóa quy trình vận hành + thư viện prompt AI + dashboard chỉ số cá nhân.</t>
  </si>
  <si>
    <t xml:space="preserve">Tuần 12</t>
  </si>
  <si>
    <t xml:space="preserve">Tổng kết 90 ngày</t>
  </si>
  <si>
    <t xml:space="preserve">Báo cáo: doanh số, sức khỏe shop, hiệu quả AI, campaign, bài học. Trình KPI 6 tháng tiếp.</t>
  </si>
  <si>
    <t xml:space="preserve">DELIVERABLE GIAI ĐOẠN 3 ✅</t>
  </si>
  <si>
    <t xml:space="preserve">✅ Doanh số &amp; sức khỏe gian hàng đạt ≥ KH; campaign/ads tối ưu
✅ Quy trình vận hành-AI cá nhân + dashboard chỉ số
✅ KPI 6 tháng tiếp được TN/TP TMĐT ký</t>
  </si>
  <si>
    <t xml:space="preserve">LỘ TRÌNH PHÁT TRIỂN – CHUYÊN VIÊN VẬN HÀNH SÀN TMĐT (KIÊM ỨNG DỤNG AI)</t>
  </si>
  <si>
    <t xml:space="preserve">CTCP Hùng Phát | Lộ trình thăng tiến từ vị trí hiện tại</t>
  </si>
  <si>
    <t xml:space="preserve">Đang đảm nhận</t>
  </si>
  <si>
    <t xml:space="preserve">12-18 tháng</t>
  </si>
  <si>
    <t xml:space="preserve">18-36 tháng</t>
  </si>
  <si>
    <t xml:space="preserve">2-3 năm</t>
  </si>
  <si>
    <t xml:space="preserve">▌ ĐỂ ĐẠT THĂNG TIẾN NHANH HƠN – 3 ĐIỀU NÊN LÀM</t>
  </si>
  <si>
    <t xml:space="preserve">1. HANDS-ON + AI LÀ LỢI THẾ KÉP: Ai vừa vận hành sàn giỏi vừa khai thác AI (listing/SEO/phân tích/tự động hóa) → làm nhanh &amp; hiệu quả hơn, đạt doanh số bằng số thật, được giao sàn chủ lực.</t>
  </si>
  <si>
    <t xml:space="preserve">2. DOANH SỐ &amp; SỨC KHỎE SHOP BẰNG SỐ THẬT: Ai đẩy doanh số &amp; giữ chỉ số shop tốt (rating, xử lý đơn, 0 vi phạm) → chứng minh giá trị, là nền tảng vững để thăng tiến.</t>
  </si>
  <si>
    <t xml:space="preserve">3. CHUẨN HÓA &amp; DẪN DẮT: Ai chuẩn hóa quy trình vận hành-AI &amp; sẵn sàng kèm NV mới → thể hiện tố chất dẫn dắt, mở đường lên Trưởng nhóm TMĐT.</t>
  </si>
  <si>
    <t xml:space="preserve">▌ XÁC NHẬN &amp; HIỆU LỰC</t>
  </si>
  <si>
    <t xml:space="preserve">Người được bổ nhiệm xác nhận (Ký, ghi rõ họ tên):</t>
  </si>
  <si>
    <t xml:space="preserve">TN / TP TMĐT phê duyệt (Ký, đóng dấu):</t>
  </si>
  <si>
    <t xml:space="preserve">Ngày hiệu lực: ___/___/______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</si>
</sst>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E9F3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"/>
    <col collapsed="false" customWidth="true" hidden="false" outlineLevel="0" max="3" min="3" style="0" width="31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5.3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</row>
    <row r="6" customFormat="false" ht="22.3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</row>
    <row r="7" customFormat="false" ht="1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</row>
    <row r="8" customFormat="false" ht="22.35" hidden="false" customHeight="true" outlineLevel="0" collapsed="false">
      <c r="A8" s="4" t="s">
        <v>11</v>
      </c>
      <c r="B8" s="5" t="s">
        <v>12</v>
      </c>
      <c r="C8" s="5"/>
      <c r="D8" s="5"/>
      <c r="E8" s="5"/>
      <c r="F8" s="5"/>
    </row>
    <row r="9" customFormat="false" ht="22.35" hidden="false" customHeight="true" outlineLevel="0" collapsed="false">
      <c r="A9" s="4" t="s">
        <v>13</v>
      </c>
      <c r="B9" s="5" t="s">
        <v>14</v>
      </c>
      <c r="C9" s="5"/>
      <c r="D9" s="5"/>
      <c r="E9" s="5"/>
      <c r="F9" s="5"/>
    </row>
    <row r="10" customFormat="false" ht="22.35" hidden="false" customHeight="true" outlineLevel="0" collapsed="false">
      <c r="A10" s="4" t="s">
        <v>15</v>
      </c>
      <c r="B10" s="5" t="s">
        <v>16</v>
      </c>
      <c r="C10" s="5"/>
      <c r="D10" s="5"/>
      <c r="E10" s="5"/>
      <c r="F10" s="5"/>
    </row>
    <row r="11" customFormat="false" ht="22.35" hidden="false" customHeight="true" outlineLevel="0" collapsed="false">
      <c r="A11" s="4" t="s">
        <v>17</v>
      </c>
      <c r="B11" s="5" t="s">
        <v>18</v>
      </c>
      <c r="C11" s="5"/>
      <c r="D11" s="5"/>
      <c r="E11" s="5"/>
      <c r="F11" s="5"/>
    </row>
    <row r="12" customFormat="false" ht="15" hidden="false" customHeight="true" outlineLevel="0" collapsed="false">
      <c r="A12" s="4" t="s">
        <v>19</v>
      </c>
      <c r="B12" s="5" t="s">
        <v>20</v>
      </c>
      <c r="C12" s="5"/>
      <c r="D12" s="5"/>
      <c r="E12" s="5"/>
      <c r="F12" s="5"/>
    </row>
    <row r="13" customFormat="false" ht="22.35" hidden="false" customHeight="true" outlineLevel="0" collapsed="false">
      <c r="A13" s="4" t="s">
        <v>21</v>
      </c>
      <c r="B13" s="5" t="s">
        <v>22</v>
      </c>
      <c r="C13" s="5"/>
      <c r="D13" s="5"/>
      <c r="E13" s="5"/>
      <c r="F13" s="5"/>
    </row>
    <row r="14" customFormat="false" ht="19.5" hidden="false" customHeight="true" outlineLevel="0" collapsed="false">
      <c r="A14" s="3" t="s">
        <v>23</v>
      </c>
      <c r="B14" s="3"/>
      <c r="C14" s="3"/>
      <c r="D14" s="3"/>
      <c r="E14" s="3"/>
      <c r="F14" s="3"/>
    </row>
    <row r="15" customFormat="false" ht="57.75" hidden="false" customHeight="true" outlineLevel="0" collapsed="false">
      <c r="A15" s="6" t="s">
        <v>24</v>
      </c>
      <c r="B15" s="6"/>
      <c r="C15" s="6"/>
      <c r="D15" s="6"/>
      <c r="E15" s="6"/>
      <c r="F15" s="6"/>
    </row>
    <row r="16" customFormat="false" ht="19.5" hidden="false" customHeight="true" outlineLevel="0" collapsed="false">
      <c r="A16" s="3" t="s">
        <v>25</v>
      </c>
      <c r="B16" s="3"/>
      <c r="C16" s="3"/>
      <c r="D16" s="3"/>
      <c r="E16" s="3"/>
      <c r="F16" s="3"/>
    </row>
    <row r="17" customFormat="false" ht="24" hidden="false" customHeight="true" outlineLevel="0" collapsed="false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customFormat="false" ht="18" hidden="false" customHeight="true" outlineLevel="0" collapsed="false">
      <c r="A18" s="8" t="s">
        <v>32</v>
      </c>
      <c r="B18" s="8"/>
      <c r="C18" s="8"/>
      <c r="D18" s="8"/>
      <c r="E18" s="8"/>
      <c r="F18" s="8"/>
    </row>
    <row r="19" customFormat="false" ht="45.75" hidden="false" customHeight="true" outlineLevel="0" collapsed="false">
      <c r="A19" s="9" t="s">
        <v>33</v>
      </c>
      <c r="B19" s="5" t="s">
        <v>34</v>
      </c>
      <c r="C19" s="5" t="s">
        <v>35</v>
      </c>
      <c r="D19" s="10" t="s">
        <v>36</v>
      </c>
      <c r="E19" s="10" t="s">
        <v>37</v>
      </c>
      <c r="F19" s="10" t="s">
        <v>38</v>
      </c>
    </row>
    <row r="20" customFormat="false" ht="45.75" hidden="false" customHeight="true" outlineLevel="0" collapsed="false">
      <c r="A20" s="11" t="s">
        <v>39</v>
      </c>
      <c r="B20" s="12" t="s">
        <v>40</v>
      </c>
      <c r="C20" s="12" t="s">
        <v>41</v>
      </c>
      <c r="D20" s="13" t="s">
        <v>36</v>
      </c>
      <c r="E20" s="13" t="s">
        <v>42</v>
      </c>
      <c r="F20" s="13" t="s">
        <v>43</v>
      </c>
    </row>
    <row r="21" customFormat="false" ht="45.75" hidden="false" customHeight="true" outlineLevel="0" collapsed="false">
      <c r="A21" s="9" t="s">
        <v>44</v>
      </c>
      <c r="B21" s="5" t="s">
        <v>45</v>
      </c>
      <c r="C21" s="5" t="s">
        <v>46</v>
      </c>
      <c r="D21" s="10" t="s">
        <v>36</v>
      </c>
      <c r="E21" s="10" t="s">
        <v>47</v>
      </c>
      <c r="F21" s="10" t="s">
        <v>48</v>
      </c>
    </row>
    <row r="22" customFormat="false" ht="18" hidden="false" customHeight="true" outlineLevel="0" collapsed="false">
      <c r="A22" s="8" t="s">
        <v>49</v>
      </c>
      <c r="B22" s="8"/>
      <c r="C22" s="8"/>
      <c r="D22" s="8"/>
      <c r="E22" s="8"/>
      <c r="F22" s="8"/>
    </row>
    <row r="23" customFormat="false" ht="45.75" hidden="false" customHeight="true" outlineLevel="0" collapsed="false">
      <c r="A23" s="9" t="s">
        <v>50</v>
      </c>
      <c r="B23" s="5" t="s">
        <v>51</v>
      </c>
      <c r="C23" s="5" t="s">
        <v>52</v>
      </c>
      <c r="D23" s="10" t="s">
        <v>53</v>
      </c>
      <c r="E23" s="10" t="s">
        <v>54</v>
      </c>
      <c r="F23" s="10" t="s">
        <v>55</v>
      </c>
    </row>
    <row r="24" customFormat="false" ht="45.75" hidden="false" customHeight="true" outlineLevel="0" collapsed="false">
      <c r="A24" s="11" t="s">
        <v>56</v>
      </c>
      <c r="B24" s="12" t="s">
        <v>57</v>
      </c>
      <c r="C24" s="12" t="s">
        <v>58</v>
      </c>
      <c r="D24" s="13" t="s">
        <v>53</v>
      </c>
      <c r="E24" s="13" t="s">
        <v>59</v>
      </c>
      <c r="F24" s="13" t="s">
        <v>60</v>
      </c>
    </row>
    <row r="25" customFormat="false" ht="45.75" hidden="false" customHeight="true" outlineLevel="0" collapsed="false">
      <c r="A25" s="9" t="s">
        <v>61</v>
      </c>
      <c r="B25" s="5" t="s">
        <v>62</v>
      </c>
      <c r="C25" s="5" t="s">
        <v>63</v>
      </c>
      <c r="D25" s="10" t="s">
        <v>53</v>
      </c>
      <c r="E25" s="10" t="s">
        <v>64</v>
      </c>
      <c r="F25" s="10" t="s">
        <v>65</v>
      </c>
    </row>
    <row r="26" customFormat="false" ht="18" hidden="false" customHeight="true" outlineLevel="0" collapsed="false">
      <c r="A26" s="8" t="s">
        <v>66</v>
      </c>
      <c r="B26" s="8"/>
      <c r="C26" s="8"/>
      <c r="D26" s="8"/>
      <c r="E26" s="8"/>
      <c r="F26" s="8"/>
    </row>
    <row r="27" customFormat="false" ht="45.75" hidden="false" customHeight="true" outlineLevel="0" collapsed="false">
      <c r="A27" s="9" t="s">
        <v>67</v>
      </c>
      <c r="B27" s="5" t="s">
        <v>68</v>
      </c>
      <c r="C27" s="5" t="s">
        <v>69</v>
      </c>
      <c r="D27" s="10" t="s">
        <v>70</v>
      </c>
      <c r="E27" s="10" t="s">
        <v>71</v>
      </c>
      <c r="F27" s="10" t="s">
        <v>72</v>
      </c>
    </row>
    <row r="28" customFormat="false" ht="45.75" hidden="false" customHeight="true" outlineLevel="0" collapsed="false">
      <c r="A28" s="11" t="s">
        <v>73</v>
      </c>
      <c r="B28" s="12" t="s">
        <v>74</v>
      </c>
      <c r="C28" s="12" t="s">
        <v>75</v>
      </c>
      <c r="D28" s="13" t="s">
        <v>36</v>
      </c>
      <c r="E28" s="13" t="s">
        <v>76</v>
      </c>
      <c r="F28" s="13" t="s">
        <v>72</v>
      </c>
    </row>
    <row r="29" customFormat="false" ht="45.75" hidden="false" customHeight="true" outlineLevel="0" collapsed="false">
      <c r="A29" s="9" t="s">
        <v>77</v>
      </c>
      <c r="B29" s="5" t="s">
        <v>78</v>
      </c>
      <c r="C29" s="5" t="s">
        <v>79</v>
      </c>
      <c r="D29" s="10" t="s">
        <v>80</v>
      </c>
      <c r="E29" s="10" t="s">
        <v>81</v>
      </c>
      <c r="F29" s="10" t="s">
        <v>82</v>
      </c>
    </row>
    <row r="30" customFormat="false" ht="18" hidden="false" customHeight="true" outlineLevel="0" collapsed="false">
      <c r="A30" s="8" t="s">
        <v>83</v>
      </c>
      <c r="B30" s="8"/>
      <c r="C30" s="8"/>
      <c r="D30" s="8"/>
      <c r="E30" s="8"/>
      <c r="F30" s="8"/>
    </row>
    <row r="31" customFormat="false" ht="45.75" hidden="false" customHeight="true" outlineLevel="0" collapsed="false">
      <c r="A31" s="9" t="s">
        <v>84</v>
      </c>
      <c r="B31" s="5" t="s">
        <v>85</v>
      </c>
      <c r="C31" s="5" t="s">
        <v>86</v>
      </c>
      <c r="D31" s="10" t="s">
        <v>36</v>
      </c>
      <c r="E31" s="10" t="s">
        <v>87</v>
      </c>
      <c r="F31" s="10" t="s">
        <v>88</v>
      </c>
    </row>
    <row r="32" customFormat="false" ht="45.75" hidden="false" customHeight="true" outlineLevel="0" collapsed="false">
      <c r="A32" s="11" t="s">
        <v>89</v>
      </c>
      <c r="B32" s="12" t="s">
        <v>90</v>
      </c>
      <c r="C32" s="12" t="s">
        <v>91</v>
      </c>
      <c r="D32" s="13" t="s">
        <v>92</v>
      </c>
      <c r="E32" s="13" t="s">
        <v>93</v>
      </c>
      <c r="F32" s="13" t="s">
        <v>48</v>
      </c>
    </row>
    <row r="33" customFormat="false" ht="45.75" hidden="false" customHeight="true" outlineLevel="0" collapsed="false">
      <c r="A33" s="9" t="s">
        <v>94</v>
      </c>
      <c r="B33" s="5" t="s">
        <v>95</v>
      </c>
      <c r="C33" s="5" t="s">
        <v>96</v>
      </c>
      <c r="D33" s="10" t="s">
        <v>97</v>
      </c>
      <c r="E33" s="10" t="s">
        <v>98</v>
      </c>
      <c r="F33" s="10" t="s">
        <v>99</v>
      </c>
    </row>
    <row r="34" customFormat="false" ht="18" hidden="false" customHeight="true" outlineLevel="0" collapsed="false">
      <c r="A34" s="8" t="s">
        <v>100</v>
      </c>
      <c r="B34" s="8"/>
      <c r="C34" s="8"/>
      <c r="D34" s="8"/>
      <c r="E34" s="8"/>
      <c r="F34" s="8"/>
    </row>
    <row r="35" customFormat="false" ht="45.75" hidden="false" customHeight="true" outlineLevel="0" collapsed="false">
      <c r="A35" s="9" t="s">
        <v>101</v>
      </c>
      <c r="B35" s="5" t="s">
        <v>102</v>
      </c>
      <c r="C35" s="5" t="s">
        <v>103</v>
      </c>
      <c r="D35" s="10" t="s">
        <v>53</v>
      </c>
      <c r="E35" s="10" t="s">
        <v>104</v>
      </c>
      <c r="F35" s="10" t="s">
        <v>48</v>
      </c>
    </row>
    <row r="36" customFormat="false" ht="45.75" hidden="false" customHeight="true" outlineLevel="0" collapsed="false">
      <c r="A36" s="11" t="s">
        <v>105</v>
      </c>
      <c r="B36" s="12" t="s">
        <v>106</v>
      </c>
      <c r="C36" s="12" t="s">
        <v>107</v>
      </c>
      <c r="D36" s="13" t="s">
        <v>108</v>
      </c>
      <c r="E36" s="13" t="s">
        <v>109</v>
      </c>
      <c r="F36" s="13" t="s">
        <v>110</v>
      </c>
    </row>
    <row r="37" customFormat="false" ht="18" hidden="false" customHeight="true" outlineLevel="0" collapsed="false">
      <c r="A37" s="8" t="s">
        <v>111</v>
      </c>
      <c r="B37" s="8"/>
      <c r="C37" s="8"/>
      <c r="D37" s="8"/>
      <c r="E37" s="8"/>
      <c r="F37" s="8"/>
    </row>
    <row r="38" customFormat="false" ht="45.75" hidden="false" customHeight="true" outlineLevel="0" collapsed="false">
      <c r="A38" s="9" t="s">
        <v>112</v>
      </c>
      <c r="B38" s="5" t="s">
        <v>113</v>
      </c>
      <c r="C38" s="5" t="s">
        <v>114</v>
      </c>
      <c r="D38" s="10" t="s">
        <v>53</v>
      </c>
      <c r="E38" s="10" t="s">
        <v>115</v>
      </c>
      <c r="F38" s="10" t="s">
        <v>116</v>
      </c>
    </row>
    <row r="39" customFormat="false" ht="45.75" hidden="false" customHeight="true" outlineLevel="0" collapsed="false">
      <c r="A39" s="11" t="s">
        <v>117</v>
      </c>
      <c r="B39" s="12" t="s">
        <v>118</v>
      </c>
      <c r="C39" s="12" t="s">
        <v>119</v>
      </c>
      <c r="D39" s="13" t="s">
        <v>36</v>
      </c>
      <c r="E39" s="13" t="s">
        <v>120</v>
      </c>
      <c r="F39" s="13" t="s">
        <v>48</v>
      </c>
    </row>
    <row r="40" customFormat="false" ht="45.75" hidden="false" customHeight="true" outlineLevel="0" collapsed="false">
      <c r="A40" s="9" t="s">
        <v>121</v>
      </c>
      <c r="B40" s="5" t="s">
        <v>122</v>
      </c>
      <c r="C40" s="5" t="s">
        <v>123</v>
      </c>
      <c r="D40" s="10" t="s">
        <v>97</v>
      </c>
      <c r="E40" s="10" t="s">
        <v>124</v>
      </c>
      <c r="F40" s="10" t="s">
        <v>125</v>
      </c>
    </row>
    <row r="41" customFormat="false" ht="19.5" hidden="false" customHeight="true" outlineLevel="0" collapsed="false">
      <c r="A41" s="3" t="s">
        <v>126</v>
      </c>
      <c r="B41" s="3"/>
      <c r="C41" s="3"/>
      <c r="D41" s="3"/>
      <c r="E41" s="3"/>
      <c r="F41" s="3"/>
    </row>
    <row r="42" customFormat="false" ht="24" hidden="false" customHeight="true" outlineLevel="0" collapsed="false">
      <c r="A42" s="7" t="s">
        <v>26</v>
      </c>
      <c r="B42" s="7" t="s">
        <v>127</v>
      </c>
      <c r="C42" s="7" t="s">
        <v>128</v>
      </c>
      <c r="D42" s="7" t="s">
        <v>129</v>
      </c>
      <c r="E42" s="7" t="s">
        <v>130</v>
      </c>
      <c r="F42" s="7" t="s">
        <v>131</v>
      </c>
    </row>
    <row r="43" customFormat="false" ht="33.75" hidden="false" customHeight="true" outlineLevel="0" collapsed="false">
      <c r="A43" s="9" t="s">
        <v>132</v>
      </c>
      <c r="B43" s="5" t="s">
        <v>133</v>
      </c>
      <c r="C43" s="10" t="s">
        <v>134</v>
      </c>
      <c r="D43" s="5" t="s">
        <v>135</v>
      </c>
      <c r="E43" s="5" t="s">
        <v>136</v>
      </c>
      <c r="F43" s="5" t="s">
        <v>137</v>
      </c>
    </row>
    <row r="44" customFormat="false" ht="33.75" hidden="false" customHeight="true" outlineLevel="0" collapsed="false">
      <c r="A44" s="11" t="s">
        <v>138</v>
      </c>
      <c r="B44" s="12" t="s">
        <v>139</v>
      </c>
      <c r="C44" s="13" t="s">
        <v>140</v>
      </c>
      <c r="D44" s="12" t="s">
        <v>141</v>
      </c>
      <c r="E44" s="12" t="s">
        <v>142</v>
      </c>
      <c r="F44" s="12" t="s">
        <v>143</v>
      </c>
    </row>
    <row r="45" customFormat="false" ht="33.75" hidden="false" customHeight="true" outlineLevel="0" collapsed="false">
      <c r="A45" s="9" t="s">
        <v>144</v>
      </c>
      <c r="B45" s="5" t="s">
        <v>145</v>
      </c>
      <c r="C45" s="10" t="s">
        <v>146</v>
      </c>
      <c r="D45" s="5" t="s">
        <v>147</v>
      </c>
      <c r="E45" s="5" t="s">
        <v>148</v>
      </c>
      <c r="F45" s="5" t="s">
        <v>149</v>
      </c>
    </row>
    <row r="46" customFormat="false" ht="33.75" hidden="false" customHeight="true" outlineLevel="0" collapsed="false">
      <c r="A46" s="11" t="s">
        <v>150</v>
      </c>
      <c r="B46" s="12" t="s">
        <v>151</v>
      </c>
      <c r="C46" s="13" t="s">
        <v>140</v>
      </c>
      <c r="D46" s="12" t="s">
        <v>152</v>
      </c>
      <c r="E46" s="12" t="s">
        <v>153</v>
      </c>
      <c r="F46" s="12" t="s">
        <v>154</v>
      </c>
    </row>
    <row r="47" customFormat="false" ht="33.75" hidden="false" customHeight="true" outlineLevel="0" collapsed="false">
      <c r="A47" s="9" t="s">
        <v>155</v>
      </c>
      <c r="B47" s="5" t="s">
        <v>156</v>
      </c>
      <c r="C47" s="10" t="s">
        <v>157</v>
      </c>
      <c r="D47" s="5" t="s">
        <v>158</v>
      </c>
      <c r="E47" s="5" t="s">
        <v>159</v>
      </c>
      <c r="F47" s="5" t="s">
        <v>160</v>
      </c>
    </row>
    <row r="48" customFormat="false" ht="33.75" hidden="false" customHeight="true" outlineLevel="0" collapsed="false">
      <c r="A48" s="11" t="s">
        <v>161</v>
      </c>
      <c r="B48" s="12" t="s">
        <v>162</v>
      </c>
      <c r="C48" s="13" t="s">
        <v>157</v>
      </c>
      <c r="D48" s="12" t="s">
        <v>163</v>
      </c>
      <c r="E48" s="12" t="s">
        <v>164</v>
      </c>
      <c r="F48" s="12" t="s">
        <v>143</v>
      </c>
    </row>
    <row r="49" customFormat="false" ht="19.5" hidden="false" customHeight="true" outlineLevel="0" collapsed="false">
      <c r="A49" s="3" t="s">
        <v>165</v>
      </c>
      <c r="B49" s="3"/>
      <c r="C49" s="3"/>
      <c r="D49" s="3"/>
      <c r="E49" s="3"/>
      <c r="F49" s="3"/>
    </row>
    <row r="50" customFormat="false" ht="24" hidden="false" customHeight="true" outlineLevel="0" collapsed="false">
      <c r="A50" s="7" t="s">
        <v>166</v>
      </c>
      <c r="B50" s="7"/>
      <c r="C50" s="7"/>
      <c r="D50" s="7" t="s">
        <v>167</v>
      </c>
      <c r="E50" s="7"/>
      <c r="F50" s="7"/>
    </row>
    <row r="51" customFormat="false" ht="30" hidden="false" customHeight="true" outlineLevel="0" collapsed="false">
      <c r="A51" s="5" t="s">
        <v>168</v>
      </c>
      <c r="B51" s="5"/>
      <c r="C51" s="5"/>
      <c r="D51" s="5" t="s">
        <v>169</v>
      </c>
      <c r="E51" s="5"/>
      <c r="F51" s="5"/>
    </row>
    <row r="52" customFormat="false" ht="30" hidden="false" customHeight="true" outlineLevel="0" collapsed="false">
      <c r="A52" s="12" t="s">
        <v>170</v>
      </c>
      <c r="B52" s="12"/>
      <c r="C52" s="12"/>
      <c r="D52" s="12" t="s">
        <v>171</v>
      </c>
      <c r="E52" s="12"/>
      <c r="F52" s="12"/>
    </row>
    <row r="53" customFormat="false" ht="30" hidden="false" customHeight="true" outlineLevel="0" collapsed="false">
      <c r="A53" s="5" t="s">
        <v>172</v>
      </c>
      <c r="B53" s="5"/>
      <c r="C53" s="5"/>
      <c r="D53" s="5" t="s">
        <v>173</v>
      </c>
      <c r="E53" s="5"/>
      <c r="F53" s="5"/>
    </row>
    <row r="54" customFormat="false" ht="30" hidden="false" customHeight="true" outlineLevel="0" collapsed="false">
      <c r="A54" s="12" t="s">
        <v>174</v>
      </c>
      <c r="B54" s="12"/>
      <c r="C54" s="12"/>
      <c r="D54" s="12" t="s">
        <v>175</v>
      </c>
      <c r="E54" s="12"/>
      <c r="F54" s="12"/>
    </row>
    <row r="55" customFormat="false" ht="30" hidden="false" customHeight="true" outlineLevel="0" collapsed="false">
      <c r="A55" s="5" t="s">
        <v>176</v>
      </c>
      <c r="B55" s="5"/>
      <c r="C55" s="5"/>
      <c r="D55" s="5" t="s">
        <v>177</v>
      </c>
      <c r="E55" s="5"/>
      <c r="F55" s="5"/>
    </row>
    <row r="56" customFormat="false" ht="30" hidden="false" customHeight="true" outlineLevel="0" collapsed="false">
      <c r="A56" s="12" t="s">
        <v>178</v>
      </c>
      <c r="B56" s="12"/>
      <c r="C56" s="12"/>
      <c r="D56" s="12" t="s">
        <v>179</v>
      </c>
      <c r="E56" s="12"/>
      <c r="F56" s="12"/>
    </row>
    <row r="57" customFormat="false" ht="30" hidden="false" customHeight="true" outlineLevel="0" collapsed="false">
      <c r="A57" s="5" t="s">
        <v>180</v>
      </c>
      <c r="B57" s="5"/>
      <c r="C57" s="5"/>
      <c r="D57" s="5" t="s">
        <v>181</v>
      </c>
      <c r="E57" s="5"/>
      <c r="F57" s="5"/>
    </row>
    <row r="58" customFormat="false" ht="19.5" hidden="false" customHeight="true" outlineLevel="0" collapsed="false">
      <c r="A58" s="3" t="s">
        <v>182</v>
      </c>
      <c r="B58" s="3"/>
      <c r="C58" s="3"/>
      <c r="D58" s="3"/>
      <c r="E58" s="3"/>
      <c r="F58" s="3"/>
    </row>
    <row r="59" customFormat="false" ht="18" hidden="false" customHeight="true" outlineLevel="0" collapsed="false">
      <c r="A59" s="14" t="s">
        <v>183</v>
      </c>
      <c r="B59" s="14"/>
      <c r="C59" s="14"/>
      <c r="D59" s="14"/>
      <c r="E59" s="14"/>
      <c r="F59" s="14"/>
    </row>
    <row r="60" customFormat="false" ht="24" hidden="false" customHeight="true" outlineLevel="0" collapsed="false">
      <c r="A60" s="7" t="s">
        <v>184</v>
      </c>
      <c r="B60" s="7" t="s">
        <v>185</v>
      </c>
      <c r="C60" s="7" t="s">
        <v>128</v>
      </c>
      <c r="D60" s="7" t="s">
        <v>186</v>
      </c>
      <c r="E60" s="7" t="s">
        <v>187</v>
      </c>
      <c r="F60" s="7" t="s">
        <v>188</v>
      </c>
    </row>
    <row r="61" customFormat="false" ht="43.5" hidden="false" customHeight="true" outlineLevel="0" collapsed="false">
      <c r="A61" s="9" t="s">
        <v>189</v>
      </c>
      <c r="B61" s="5" t="s">
        <v>190</v>
      </c>
      <c r="C61" s="10" t="s">
        <v>134</v>
      </c>
      <c r="D61" s="10" t="s">
        <v>191</v>
      </c>
      <c r="E61" s="5" t="s">
        <v>192</v>
      </c>
      <c r="F61" s="10" t="s">
        <v>193</v>
      </c>
    </row>
    <row r="62" customFormat="false" ht="43.5" hidden="false" customHeight="true" outlineLevel="0" collapsed="false">
      <c r="A62" s="11" t="s">
        <v>194</v>
      </c>
      <c r="B62" s="12" t="s">
        <v>195</v>
      </c>
      <c r="C62" s="13" t="s">
        <v>140</v>
      </c>
      <c r="D62" s="13" t="s">
        <v>191</v>
      </c>
      <c r="E62" s="12" t="s">
        <v>196</v>
      </c>
      <c r="F62" s="13" t="s">
        <v>193</v>
      </c>
    </row>
    <row r="63" customFormat="false" ht="43.5" hidden="false" customHeight="true" outlineLevel="0" collapsed="false">
      <c r="A63" s="9" t="s">
        <v>197</v>
      </c>
      <c r="B63" s="5" t="s">
        <v>198</v>
      </c>
      <c r="C63" s="10" t="s">
        <v>140</v>
      </c>
      <c r="D63" s="10" t="s">
        <v>191</v>
      </c>
      <c r="E63" s="5" t="s">
        <v>199</v>
      </c>
      <c r="F63" s="10" t="s">
        <v>193</v>
      </c>
    </row>
    <row r="64" customFormat="false" ht="43.5" hidden="false" customHeight="true" outlineLevel="0" collapsed="false">
      <c r="A64" s="11" t="s">
        <v>200</v>
      </c>
      <c r="B64" s="12" t="s">
        <v>201</v>
      </c>
      <c r="C64" s="13" t="s">
        <v>140</v>
      </c>
      <c r="D64" s="13" t="s">
        <v>191</v>
      </c>
      <c r="E64" s="12" t="s">
        <v>202</v>
      </c>
      <c r="F64" s="13" t="s">
        <v>193</v>
      </c>
    </row>
    <row r="65" customFormat="false" ht="43.5" hidden="false" customHeight="true" outlineLevel="0" collapsed="false">
      <c r="A65" s="9" t="s">
        <v>203</v>
      </c>
      <c r="B65" s="5" t="s">
        <v>204</v>
      </c>
      <c r="C65" s="10" t="s">
        <v>205</v>
      </c>
      <c r="D65" s="10" t="s">
        <v>191</v>
      </c>
      <c r="E65" s="5" t="s">
        <v>206</v>
      </c>
      <c r="F65" s="10" t="s">
        <v>193</v>
      </c>
    </row>
    <row r="66" customFormat="false" ht="43.5" hidden="false" customHeight="true" outlineLevel="0" collapsed="false">
      <c r="A66" s="11" t="s">
        <v>207</v>
      </c>
      <c r="B66" s="12" t="s">
        <v>208</v>
      </c>
      <c r="C66" s="13" t="s">
        <v>209</v>
      </c>
      <c r="D66" s="13" t="s">
        <v>191</v>
      </c>
      <c r="E66" s="12" t="s">
        <v>210</v>
      </c>
      <c r="F66" s="13" t="s">
        <v>193</v>
      </c>
    </row>
    <row r="67" customFormat="false" ht="19.5" hidden="false" customHeight="true" outlineLevel="0" collapsed="false">
      <c r="A67" s="3" t="s">
        <v>211</v>
      </c>
      <c r="B67" s="3"/>
      <c r="C67" s="3"/>
      <c r="D67" s="3"/>
      <c r="E67" s="3"/>
      <c r="F67" s="3"/>
    </row>
    <row r="68" customFormat="false" ht="24" hidden="false" customHeight="true" outlineLevel="0" collapsed="false">
      <c r="A68" s="14" t="s">
        <v>212</v>
      </c>
      <c r="B68" s="14"/>
      <c r="C68" s="14"/>
      <c r="D68" s="14"/>
      <c r="E68" s="14"/>
      <c r="F68" s="14"/>
    </row>
    <row r="69" customFormat="false" ht="15" hidden="false" customHeight="true" outlineLevel="0" collapsed="false">
      <c r="A69" s="8" t="s">
        <v>213</v>
      </c>
      <c r="B69" s="8"/>
      <c r="C69" s="8" t="s">
        <v>214</v>
      </c>
      <c r="D69" s="8"/>
      <c r="E69" s="7" t="s">
        <v>215</v>
      </c>
      <c r="F69" s="7"/>
    </row>
    <row r="70" customFormat="false" ht="18" hidden="false" customHeight="true" outlineLevel="0" collapsed="false">
      <c r="A70" s="15" t="s">
        <v>216</v>
      </c>
      <c r="B70" s="15"/>
      <c r="C70" s="15"/>
      <c r="D70" s="15"/>
      <c r="E70" s="15"/>
      <c r="F70" s="15"/>
    </row>
    <row r="71" customFormat="false" ht="31.5" hidden="false" customHeight="true" outlineLevel="0" collapsed="false">
      <c r="A71" s="5" t="s">
        <v>217</v>
      </c>
      <c r="B71" s="5"/>
      <c r="C71" s="5" t="s">
        <v>218</v>
      </c>
      <c r="D71" s="5"/>
      <c r="E71" s="10" t="s">
        <v>48</v>
      </c>
      <c r="F71" s="10"/>
    </row>
    <row r="72" customFormat="false" ht="31.5" hidden="false" customHeight="true" outlineLevel="0" collapsed="false">
      <c r="A72" s="12" t="s">
        <v>219</v>
      </c>
      <c r="B72" s="12"/>
      <c r="C72" s="12" t="s">
        <v>220</v>
      </c>
      <c r="D72" s="12"/>
      <c r="E72" s="13" t="s">
        <v>221</v>
      </c>
      <c r="F72" s="13"/>
    </row>
    <row r="73" customFormat="false" ht="18" hidden="false" customHeight="true" outlineLevel="0" collapsed="false">
      <c r="A73" s="15" t="s">
        <v>222</v>
      </c>
      <c r="B73" s="15"/>
      <c r="C73" s="15"/>
      <c r="D73" s="15"/>
      <c r="E73" s="15"/>
      <c r="F73" s="15"/>
    </row>
    <row r="74" customFormat="false" ht="31.5" hidden="false" customHeight="true" outlineLevel="0" collapsed="false">
      <c r="A74" s="5" t="s">
        <v>223</v>
      </c>
      <c r="B74" s="5"/>
      <c r="C74" s="5" t="s">
        <v>224</v>
      </c>
      <c r="D74" s="5"/>
      <c r="E74" s="10" t="s">
        <v>221</v>
      </c>
      <c r="F74" s="10"/>
    </row>
    <row r="75" customFormat="false" ht="31.5" hidden="false" customHeight="true" outlineLevel="0" collapsed="false">
      <c r="A75" s="12" t="s">
        <v>225</v>
      </c>
      <c r="B75" s="12"/>
      <c r="C75" s="12" t="s">
        <v>226</v>
      </c>
      <c r="D75" s="12"/>
      <c r="E75" s="13" t="s">
        <v>227</v>
      </c>
      <c r="F75" s="13"/>
    </row>
    <row r="76" customFormat="false" ht="18" hidden="false" customHeight="true" outlineLevel="0" collapsed="false">
      <c r="A76" s="15" t="s">
        <v>228</v>
      </c>
      <c r="B76" s="15"/>
      <c r="C76" s="15"/>
      <c r="D76" s="15"/>
      <c r="E76" s="15"/>
      <c r="F76" s="15"/>
    </row>
    <row r="77" customFormat="false" ht="31.5" hidden="false" customHeight="true" outlineLevel="0" collapsed="false">
      <c r="A77" s="5" t="s">
        <v>229</v>
      </c>
      <c r="B77" s="5"/>
      <c r="C77" s="5" t="s">
        <v>230</v>
      </c>
      <c r="D77" s="5"/>
      <c r="E77" s="10" t="s">
        <v>48</v>
      </c>
      <c r="F77" s="10"/>
    </row>
    <row r="78" customFormat="false" ht="31.5" hidden="false" customHeight="true" outlineLevel="0" collapsed="false">
      <c r="A78" s="12" t="s">
        <v>231</v>
      </c>
      <c r="B78" s="12"/>
      <c r="C78" s="12" t="s">
        <v>232</v>
      </c>
      <c r="D78" s="12"/>
      <c r="E78" s="13" t="s">
        <v>48</v>
      </c>
      <c r="F78" s="13"/>
    </row>
    <row r="79" customFormat="false" ht="19.5" hidden="false" customHeight="true" outlineLevel="0" collapsed="false">
      <c r="A79" s="3" t="s">
        <v>233</v>
      </c>
      <c r="B79" s="3"/>
      <c r="C79" s="3"/>
      <c r="D79" s="3"/>
      <c r="E79" s="3"/>
      <c r="F79" s="3"/>
    </row>
    <row r="80" customFormat="false" ht="24" hidden="false" customHeight="true" outlineLevel="0" collapsed="false">
      <c r="A80" s="7" t="s">
        <v>234</v>
      </c>
      <c r="B80" s="7" t="s">
        <v>235</v>
      </c>
      <c r="C80" s="7" t="s">
        <v>236</v>
      </c>
      <c r="D80" s="7" t="s">
        <v>237</v>
      </c>
      <c r="E80" s="7" t="s">
        <v>238</v>
      </c>
      <c r="F80" s="7" t="s">
        <v>239</v>
      </c>
    </row>
    <row r="81" customFormat="false" ht="39.75" hidden="false" customHeight="true" outlineLevel="0" collapsed="false">
      <c r="A81" s="9" t="s">
        <v>240</v>
      </c>
      <c r="B81" s="5" t="s">
        <v>241</v>
      </c>
      <c r="C81" s="5" t="s">
        <v>242</v>
      </c>
      <c r="D81" s="5" t="s">
        <v>243</v>
      </c>
      <c r="E81" s="10" t="s">
        <v>48</v>
      </c>
      <c r="F81" s="10" t="s">
        <v>244</v>
      </c>
    </row>
    <row r="82" customFormat="false" ht="39.75" hidden="false" customHeight="true" outlineLevel="0" collapsed="false">
      <c r="A82" s="11" t="s">
        <v>245</v>
      </c>
      <c r="B82" s="12" t="s">
        <v>246</v>
      </c>
      <c r="C82" s="12" t="s">
        <v>247</v>
      </c>
      <c r="D82" s="12" t="s">
        <v>248</v>
      </c>
      <c r="E82" s="13" t="s">
        <v>48</v>
      </c>
      <c r="F82" s="13" t="s">
        <v>245</v>
      </c>
    </row>
    <row r="83" customFormat="false" ht="39.75" hidden="false" customHeight="true" outlineLevel="0" collapsed="false">
      <c r="A83" s="9" t="s">
        <v>249</v>
      </c>
      <c r="B83" s="5" t="s">
        <v>250</v>
      </c>
      <c r="C83" s="5" t="s">
        <v>251</v>
      </c>
      <c r="D83" s="5" t="s">
        <v>252</v>
      </c>
      <c r="E83" s="10" t="s">
        <v>253</v>
      </c>
      <c r="F83" s="10" t="s">
        <v>254</v>
      </c>
    </row>
    <row r="84" customFormat="false" ht="39.75" hidden="false" customHeight="true" outlineLevel="0" collapsed="false">
      <c r="A84" s="11" t="s">
        <v>255</v>
      </c>
      <c r="B84" s="12" t="s">
        <v>256</v>
      </c>
      <c r="C84" s="12" t="s">
        <v>257</v>
      </c>
      <c r="D84" s="12" t="s">
        <v>258</v>
      </c>
      <c r="E84" s="13" t="s">
        <v>259</v>
      </c>
      <c r="F84" s="13" t="s">
        <v>260</v>
      </c>
    </row>
    <row r="85" customFormat="false" ht="19.5" hidden="false" customHeight="true" outlineLevel="0" collapsed="false">
      <c r="A85" s="3" t="s">
        <v>261</v>
      </c>
      <c r="B85" s="3"/>
      <c r="C85" s="3"/>
      <c r="D85" s="3"/>
      <c r="E85" s="3"/>
      <c r="F85" s="3"/>
    </row>
    <row r="86" customFormat="false" ht="18" hidden="false" customHeight="true" outlineLevel="0" collapsed="false">
      <c r="A86" s="4" t="s">
        <v>262</v>
      </c>
      <c r="B86" s="4"/>
      <c r="C86" s="4"/>
      <c r="D86" s="4"/>
      <c r="E86" s="4"/>
      <c r="F86" s="4"/>
    </row>
    <row r="87" customFormat="false" ht="15" hidden="false" customHeight="true" outlineLevel="0" collapsed="false">
      <c r="A87" s="4" t="s">
        <v>263</v>
      </c>
      <c r="B87" s="4"/>
      <c r="C87" s="4" t="s">
        <v>264</v>
      </c>
      <c r="D87" s="4"/>
      <c r="E87" s="4" t="s">
        <v>265</v>
      </c>
      <c r="F87" s="4"/>
    </row>
    <row r="88" customFormat="false" ht="54" hidden="false" customHeight="true" outlineLevel="0" collapsed="false">
      <c r="A88" s="5" t="s">
        <v>266</v>
      </c>
      <c r="B88" s="5"/>
      <c r="C88" s="5" t="s">
        <v>267</v>
      </c>
      <c r="D88" s="5"/>
      <c r="E88" s="5" t="s">
        <v>268</v>
      </c>
      <c r="F88" s="5"/>
    </row>
    <row r="89" customFormat="false" ht="18" hidden="false" customHeight="true" outlineLevel="0" collapsed="false">
      <c r="A89" s="16" t="s">
        <v>269</v>
      </c>
      <c r="B89" s="16"/>
      <c r="C89" s="16"/>
      <c r="D89" s="16"/>
      <c r="E89" s="16"/>
      <c r="F89" s="16"/>
    </row>
  </sheetData>
  <mergeCells count="78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4:F14"/>
    <mergeCell ref="A15:F15"/>
    <mergeCell ref="A16:F16"/>
    <mergeCell ref="A18:F18"/>
    <mergeCell ref="A22:F22"/>
    <mergeCell ref="A26:F26"/>
    <mergeCell ref="A30:F30"/>
    <mergeCell ref="A34:F34"/>
    <mergeCell ref="A37:F37"/>
    <mergeCell ref="A41:F41"/>
    <mergeCell ref="A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F58"/>
    <mergeCell ref="A59:F59"/>
    <mergeCell ref="A67:F67"/>
    <mergeCell ref="A68:F68"/>
    <mergeCell ref="A69:B69"/>
    <mergeCell ref="C69:D69"/>
    <mergeCell ref="E69:F69"/>
    <mergeCell ref="A70:F70"/>
    <mergeCell ref="A71:B71"/>
    <mergeCell ref="C71:D71"/>
    <mergeCell ref="E71:F71"/>
    <mergeCell ref="A72:B72"/>
    <mergeCell ref="C72:D72"/>
    <mergeCell ref="E72:F72"/>
    <mergeCell ref="A73:F73"/>
    <mergeCell ref="A74:B74"/>
    <mergeCell ref="C74:D74"/>
    <mergeCell ref="E74:F74"/>
    <mergeCell ref="A75:B75"/>
    <mergeCell ref="C75:D75"/>
    <mergeCell ref="E75:F75"/>
    <mergeCell ref="A76:F76"/>
    <mergeCell ref="A77:B77"/>
    <mergeCell ref="C77:D77"/>
    <mergeCell ref="E77:F77"/>
    <mergeCell ref="A78:B78"/>
    <mergeCell ref="C78:D78"/>
    <mergeCell ref="E78:F78"/>
    <mergeCell ref="A79:F79"/>
    <mergeCell ref="A85:F85"/>
    <mergeCell ref="A86:F86"/>
    <mergeCell ref="A87:B87"/>
    <mergeCell ref="C87:D87"/>
    <mergeCell ref="E87:F87"/>
    <mergeCell ref="A88:B88"/>
    <mergeCell ref="C88:D88"/>
    <mergeCell ref="E88:F88"/>
    <mergeCell ref="A89:F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1" t="s">
        <v>270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271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272</v>
      </c>
      <c r="B3" s="3"/>
      <c r="C3" s="3"/>
      <c r="D3" s="3"/>
      <c r="E3" s="3"/>
      <c r="F3" s="3"/>
    </row>
    <row r="4" customFormat="false" ht="24" hidden="false" customHeight="true" outlineLevel="0" collapsed="false">
      <c r="A4" s="7" t="s">
        <v>26</v>
      </c>
      <c r="B4" s="7" t="s">
        <v>273</v>
      </c>
      <c r="C4" s="7" t="s">
        <v>128</v>
      </c>
      <c r="D4" s="7" t="s">
        <v>186</v>
      </c>
      <c r="E4" s="7" t="s">
        <v>274</v>
      </c>
      <c r="F4" s="7" t="s">
        <v>275</v>
      </c>
    </row>
    <row r="5" customFormat="false" ht="21.75" hidden="false" customHeight="true" outlineLevel="0" collapsed="false">
      <c r="A5" s="9" t="s">
        <v>189</v>
      </c>
      <c r="B5" s="5" t="s">
        <v>190</v>
      </c>
      <c r="C5" s="10" t="s">
        <v>134</v>
      </c>
      <c r="D5" s="10" t="s">
        <v>191</v>
      </c>
      <c r="E5" s="10" t="s">
        <v>276</v>
      </c>
      <c r="F5" s="10" t="s">
        <v>193</v>
      </c>
    </row>
    <row r="6" customFormat="false" ht="21.75" hidden="false" customHeight="true" outlineLevel="0" collapsed="false">
      <c r="A6" s="11" t="s">
        <v>194</v>
      </c>
      <c r="B6" s="12" t="s">
        <v>195</v>
      </c>
      <c r="C6" s="13" t="s">
        <v>140</v>
      </c>
      <c r="D6" s="13" t="s">
        <v>191</v>
      </c>
      <c r="E6" s="13" t="s">
        <v>191</v>
      </c>
      <c r="F6" s="13" t="s">
        <v>193</v>
      </c>
    </row>
    <row r="7" customFormat="false" ht="21.75" hidden="false" customHeight="true" outlineLevel="0" collapsed="false">
      <c r="A7" s="9" t="s">
        <v>197</v>
      </c>
      <c r="B7" s="5" t="s">
        <v>198</v>
      </c>
      <c r="C7" s="10" t="s">
        <v>140</v>
      </c>
      <c r="D7" s="10" t="s">
        <v>191</v>
      </c>
      <c r="E7" s="10" t="s">
        <v>276</v>
      </c>
      <c r="F7" s="10" t="s">
        <v>193</v>
      </c>
    </row>
    <row r="8" customFormat="false" ht="21.75" hidden="false" customHeight="true" outlineLevel="0" collapsed="false">
      <c r="A8" s="11" t="s">
        <v>200</v>
      </c>
      <c r="B8" s="12" t="s">
        <v>201</v>
      </c>
      <c r="C8" s="13" t="s">
        <v>140</v>
      </c>
      <c r="D8" s="13" t="s">
        <v>191</v>
      </c>
      <c r="E8" s="13" t="s">
        <v>276</v>
      </c>
      <c r="F8" s="13" t="s">
        <v>193</v>
      </c>
    </row>
    <row r="9" customFormat="false" ht="21.75" hidden="false" customHeight="true" outlineLevel="0" collapsed="false">
      <c r="A9" s="9" t="s">
        <v>203</v>
      </c>
      <c r="B9" s="5" t="s">
        <v>204</v>
      </c>
      <c r="C9" s="10" t="s">
        <v>205</v>
      </c>
      <c r="D9" s="10" t="s">
        <v>191</v>
      </c>
      <c r="E9" s="10" t="s">
        <v>191</v>
      </c>
      <c r="F9" s="10" t="s">
        <v>193</v>
      </c>
    </row>
    <row r="10" customFormat="false" ht="21.75" hidden="false" customHeight="true" outlineLevel="0" collapsed="false">
      <c r="A10" s="11" t="s">
        <v>207</v>
      </c>
      <c r="B10" s="12" t="s">
        <v>208</v>
      </c>
      <c r="C10" s="13" t="s">
        <v>209</v>
      </c>
      <c r="D10" s="13" t="s">
        <v>191</v>
      </c>
      <c r="E10" s="13" t="s">
        <v>191</v>
      </c>
      <c r="F10" s="13" t="s">
        <v>193</v>
      </c>
    </row>
    <row r="11" customFormat="false" ht="19.5" hidden="false" customHeight="true" outlineLevel="0" collapsed="false">
      <c r="A11" s="10"/>
      <c r="B11" s="9" t="s">
        <v>277</v>
      </c>
      <c r="C11" s="10" t="s">
        <v>278</v>
      </c>
      <c r="D11" s="10" t="s">
        <v>279</v>
      </c>
      <c r="E11" s="10" t="s">
        <v>280</v>
      </c>
      <c r="F11" s="10" t="s">
        <v>281</v>
      </c>
    </row>
    <row r="12" customFormat="false" ht="19.5" hidden="false" customHeight="true" outlineLevel="0" collapsed="false">
      <c r="A12" s="3" t="s">
        <v>282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7" t="s">
        <v>26</v>
      </c>
      <c r="B13" s="7" t="s">
        <v>283</v>
      </c>
      <c r="C13" s="7" t="s">
        <v>284</v>
      </c>
      <c r="D13" s="7" t="s">
        <v>285</v>
      </c>
      <c r="E13" s="7" t="s">
        <v>286</v>
      </c>
      <c r="F13" s="7" t="s">
        <v>287</v>
      </c>
    </row>
    <row r="14" customFormat="false" ht="18" hidden="false" customHeight="true" outlineLevel="0" collapsed="false">
      <c r="A14" s="8" t="s">
        <v>288</v>
      </c>
      <c r="B14" s="8"/>
      <c r="C14" s="8"/>
      <c r="D14" s="8"/>
      <c r="E14" s="8"/>
      <c r="F14" s="8"/>
    </row>
    <row r="15" customFormat="false" ht="57.75" hidden="false" customHeight="true" outlineLevel="0" collapsed="false">
      <c r="A15" s="9" t="s">
        <v>33</v>
      </c>
      <c r="B15" s="17" t="s">
        <v>289</v>
      </c>
      <c r="C15" s="18" t="s">
        <v>290</v>
      </c>
      <c r="D15" s="19" t="s">
        <v>291</v>
      </c>
      <c r="E15" s="20" t="s">
        <v>292</v>
      </c>
      <c r="F15" s="21" t="s">
        <v>293</v>
      </c>
    </row>
    <row r="16" customFormat="false" ht="57.75" hidden="false" customHeight="true" outlineLevel="0" collapsed="false">
      <c r="A16" s="11" t="s">
        <v>39</v>
      </c>
      <c r="B16" s="22" t="s">
        <v>294</v>
      </c>
      <c r="C16" s="18" t="s">
        <v>295</v>
      </c>
      <c r="D16" s="19" t="s">
        <v>296</v>
      </c>
      <c r="E16" s="20" t="s">
        <v>297</v>
      </c>
      <c r="F16" s="21" t="s">
        <v>298</v>
      </c>
    </row>
    <row r="17" customFormat="false" ht="57.75" hidden="false" customHeight="true" outlineLevel="0" collapsed="false">
      <c r="A17" s="9" t="s">
        <v>44</v>
      </c>
      <c r="B17" s="17" t="s">
        <v>299</v>
      </c>
      <c r="C17" s="18" t="s">
        <v>300</v>
      </c>
      <c r="D17" s="19" t="s">
        <v>301</v>
      </c>
      <c r="E17" s="20" t="s">
        <v>302</v>
      </c>
      <c r="F17" s="21" t="s">
        <v>303</v>
      </c>
    </row>
    <row r="18" customFormat="false" ht="18" hidden="false" customHeight="true" outlineLevel="0" collapsed="false">
      <c r="A18" s="8" t="s">
        <v>304</v>
      </c>
      <c r="B18" s="8"/>
      <c r="C18" s="8"/>
      <c r="D18" s="8"/>
      <c r="E18" s="8"/>
      <c r="F18" s="8"/>
    </row>
    <row r="19" customFormat="false" ht="57.75" hidden="false" customHeight="true" outlineLevel="0" collapsed="false">
      <c r="A19" s="9" t="s">
        <v>50</v>
      </c>
      <c r="B19" s="17" t="s">
        <v>305</v>
      </c>
      <c r="C19" s="18" t="s">
        <v>306</v>
      </c>
      <c r="D19" s="19" t="s">
        <v>307</v>
      </c>
      <c r="E19" s="20" t="s">
        <v>308</v>
      </c>
      <c r="F19" s="21" t="s">
        <v>309</v>
      </c>
    </row>
    <row r="20" customFormat="false" ht="57.75" hidden="false" customHeight="true" outlineLevel="0" collapsed="false">
      <c r="A20" s="11" t="s">
        <v>56</v>
      </c>
      <c r="B20" s="22" t="s">
        <v>310</v>
      </c>
      <c r="C20" s="18" t="s">
        <v>311</v>
      </c>
      <c r="D20" s="19" t="s">
        <v>312</v>
      </c>
      <c r="E20" s="20" t="s">
        <v>313</v>
      </c>
      <c r="F20" s="21" t="s">
        <v>314</v>
      </c>
    </row>
    <row r="21" customFormat="false" ht="57.75" hidden="false" customHeight="true" outlineLevel="0" collapsed="false">
      <c r="A21" s="9" t="s">
        <v>61</v>
      </c>
      <c r="B21" s="17" t="s">
        <v>315</v>
      </c>
      <c r="C21" s="18" t="s">
        <v>316</v>
      </c>
      <c r="D21" s="19" t="s">
        <v>317</v>
      </c>
      <c r="E21" s="20" t="s">
        <v>318</v>
      </c>
      <c r="F21" s="21" t="s">
        <v>319</v>
      </c>
    </row>
    <row r="22" customFormat="false" ht="18" hidden="false" customHeight="true" outlineLevel="0" collapsed="false">
      <c r="A22" s="8" t="s">
        <v>320</v>
      </c>
      <c r="B22" s="8"/>
      <c r="C22" s="8"/>
      <c r="D22" s="8"/>
      <c r="E22" s="8"/>
      <c r="F22" s="8"/>
    </row>
    <row r="23" customFormat="false" ht="57.75" hidden="false" customHeight="true" outlineLevel="0" collapsed="false">
      <c r="A23" s="9" t="s">
        <v>67</v>
      </c>
      <c r="B23" s="17" t="s">
        <v>321</v>
      </c>
      <c r="C23" s="18" t="s">
        <v>322</v>
      </c>
      <c r="D23" s="19" t="s">
        <v>323</v>
      </c>
      <c r="E23" s="20" t="s">
        <v>324</v>
      </c>
      <c r="F23" s="21" t="s">
        <v>325</v>
      </c>
    </row>
    <row r="24" customFormat="false" ht="57.75" hidden="false" customHeight="true" outlineLevel="0" collapsed="false">
      <c r="A24" s="11" t="s">
        <v>73</v>
      </c>
      <c r="B24" s="22" t="s">
        <v>326</v>
      </c>
      <c r="C24" s="18" t="s">
        <v>327</v>
      </c>
      <c r="D24" s="19" t="s">
        <v>328</v>
      </c>
      <c r="E24" s="20" t="s">
        <v>329</v>
      </c>
      <c r="F24" s="21" t="s">
        <v>330</v>
      </c>
    </row>
    <row r="25" customFormat="false" ht="57.75" hidden="false" customHeight="true" outlineLevel="0" collapsed="false">
      <c r="A25" s="9" t="s">
        <v>77</v>
      </c>
      <c r="B25" s="17" t="s">
        <v>331</v>
      </c>
      <c r="C25" s="18" t="s">
        <v>332</v>
      </c>
      <c r="D25" s="19" t="s">
        <v>333</v>
      </c>
      <c r="E25" s="20" t="s">
        <v>334</v>
      </c>
      <c r="F25" s="21" t="s">
        <v>335</v>
      </c>
    </row>
    <row r="26" customFormat="false" ht="18" hidden="false" customHeight="true" outlineLevel="0" collapsed="false">
      <c r="A26" s="8" t="s">
        <v>336</v>
      </c>
      <c r="B26" s="8"/>
      <c r="C26" s="8"/>
      <c r="D26" s="8"/>
      <c r="E26" s="8"/>
      <c r="F26" s="8"/>
    </row>
    <row r="27" customFormat="false" ht="57.75" hidden="false" customHeight="true" outlineLevel="0" collapsed="false">
      <c r="A27" s="9" t="s">
        <v>84</v>
      </c>
      <c r="B27" s="17" t="s">
        <v>337</v>
      </c>
      <c r="C27" s="18" t="s">
        <v>338</v>
      </c>
      <c r="D27" s="19" t="s">
        <v>339</v>
      </c>
      <c r="E27" s="20" t="s">
        <v>340</v>
      </c>
      <c r="F27" s="21" t="s">
        <v>341</v>
      </c>
    </row>
    <row r="28" customFormat="false" ht="57.75" hidden="false" customHeight="true" outlineLevel="0" collapsed="false">
      <c r="A28" s="11" t="s">
        <v>89</v>
      </c>
      <c r="B28" s="22" t="s">
        <v>342</v>
      </c>
      <c r="C28" s="18" t="s">
        <v>343</v>
      </c>
      <c r="D28" s="19" t="s">
        <v>344</v>
      </c>
      <c r="E28" s="20" t="s">
        <v>345</v>
      </c>
      <c r="F28" s="21" t="s">
        <v>346</v>
      </c>
    </row>
    <row r="29" customFormat="false" ht="57.75" hidden="false" customHeight="true" outlineLevel="0" collapsed="false">
      <c r="A29" s="9" t="s">
        <v>94</v>
      </c>
      <c r="B29" s="17" t="s">
        <v>347</v>
      </c>
      <c r="C29" s="18" t="s">
        <v>348</v>
      </c>
      <c r="D29" s="19" t="s">
        <v>349</v>
      </c>
      <c r="E29" s="20" t="s">
        <v>350</v>
      </c>
      <c r="F29" s="21" t="s">
        <v>351</v>
      </c>
    </row>
    <row r="30" customFormat="false" ht="18" hidden="false" customHeight="true" outlineLevel="0" collapsed="false">
      <c r="A30" s="8" t="s">
        <v>352</v>
      </c>
      <c r="B30" s="8"/>
      <c r="C30" s="8"/>
      <c r="D30" s="8"/>
      <c r="E30" s="8"/>
      <c r="F30" s="8"/>
    </row>
    <row r="31" customFormat="false" ht="57.75" hidden="false" customHeight="true" outlineLevel="0" collapsed="false">
      <c r="A31" s="9" t="s">
        <v>101</v>
      </c>
      <c r="B31" s="17" t="s">
        <v>353</v>
      </c>
      <c r="C31" s="18" t="s">
        <v>354</v>
      </c>
      <c r="D31" s="19" t="s">
        <v>355</v>
      </c>
      <c r="E31" s="20" t="s">
        <v>356</v>
      </c>
      <c r="F31" s="21" t="s">
        <v>357</v>
      </c>
    </row>
    <row r="32" customFormat="false" ht="57.75" hidden="false" customHeight="true" outlineLevel="0" collapsed="false">
      <c r="A32" s="11" t="s">
        <v>105</v>
      </c>
      <c r="B32" s="22" t="s">
        <v>358</v>
      </c>
      <c r="C32" s="18" t="s">
        <v>359</v>
      </c>
      <c r="D32" s="19" t="s">
        <v>360</v>
      </c>
      <c r="E32" s="20" t="s">
        <v>361</v>
      </c>
      <c r="F32" s="21" t="s">
        <v>362</v>
      </c>
    </row>
    <row r="33" customFormat="false" ht="18" hidden="false" customHeight="true" outlineLevel="0" collapsed="false">
      <c r="A33" s="8" t="s">
        <v>363</v>
      </c>
      <c r="B33" s="8"/>
      <c r="C33" s="8"/>
      <c r="D33" s="8"/>
      <c r="E33" s="8"/>
      <c r="F33" s="8"/>
    </row>
    <row r="34" customFormat="false" ht="57.75" hidden="false" customHeight="true" outlineLevel="0" collapsed="false">
      <c r="A34" s="9" t="s">
        <v>112</v>
      </c>
      <c r="B34" s="17" t="s">
        <v>364</v>
      </c>
      <c r="C34" s="18" t="s">
        <v>365</v>
      </c>
      <c r="D34" s="19" t="s">
        <v>366</v>
      </c>
      <c r="E34" s="20" t="s">
        <v>367</v>
      </c>
      <c r="F34" s="21" t="s">
        <v>368</v>
      </c>
    </row>
    <row r="35" customFormat="false" ht="57.75" hidden="false" customHeight="true" outlineLevel="0" collapsed="false">
      <c r="A35" s="11" t="s">
        <v>117</v>
      </c>
      <c r="B35" s="22" t="s">
        <v>369</v>
      </c>
      <c r="C35" s="18" t="s">
        <v>370</v>
      </c>
      <c r="D35" s="19" t="s">
        <v>371</v>
      </c>
      <c r="E35" s="20" t="s">
        <v>372</v>
      </c>
      <c r="F35" s="21" t="s">
        <v>373</v>
      </c>
    </row>
  </sheetData>
  <mergeCells count="10">
    <mergeCell ref="A1:F1"/>
    <mergeCell ref="A2:F2"/>
    <mergeCell ref="A3:F3"/>
    <mergeCell ref="A12:F12"/>
    <mergeCell ref="A14:F14"/>
    <mergeCell ref="A18:F18"/>
    <mergeCell ref="A22:F22"/>
    <mergeCell ref="A26:F26"/>
    <mergeCell ref="A30:F30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7.5" hidden="false" customHeight="true" outlineLevel="0" collapsed="false">
      <c r="A1" s="1" t="s">
        <v>374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375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376</v>
      </c>
      <c r="B3" s="3"/>
      <c r="C3" s="3"/>
      <c r="D3" s="3"/>
      <c r="E3" s="3"/>
    </row>
    <row r="4" customFormat="false" ht="18" hidden="false" customHeight="true" outlineLevel="0" collapsed="false">
      <c r="A4" s="5" t="s">
        <v>377</v>
      </c>
      <c r="B4" s="5"/>
      <c r="C4" s="5"/>
      <c r="D4" s="5"/>
      <c r="E4" s="5"/>
    </row>
    <row r="5" customFormat="false" ht="18" hidden="false" customHeight="true" outlineLevel="0" collapsed="false">
      <c r="A5" s="5" t="s">
        <v>378</v>
      </c>
      <c r="B5" s="5"/>
      <c r="C5" s="5"/>
      <c r="D5" s="5"/>
      <c r="E5" s="5"/>
    </row>
    <row r="6" customFormat="false" ht="18" hidden="false" customHeight="true" outlineLevel="0" collapsed="false">
      <c r="A6" s="5" t="s">
        <v>379</v>
      </c>
      <c r="B6" s="5"/>
      <c r="C6" s="5"/>
      <c r="D6" s="5"/>
      <c r="E6" s="5"/>
    </row>
    <row r="7" customFormat="false" ht="18" hidden="false" customHeight="true" outlineLevel="0" collapsed="false">
      <c r="A7" s="5" t="s">
        <v>380</v>
      </c>
      <c r="B7" s="5"/>
      <c r="C7" s="5"/>
      <c r="D7" s="5"/>
      <c r="E7" s="5"/>
    </row>
    <row r="8" customFormat="false" ht="19.5" hidden="false" customHeight="true" outlineLevel="0" collapsed="false">
      <c r="A8" s="14" t="s">
        <v>381</v>
      </c>
      <c r="B8" s="14"/>
      <c r="C8" s="14"/>
      <c r="D8" s="14"/>
      <c r="E8" s="14"/>
    </row>
    <row r="9" customFormat="false" ht="24" hidden="false" customHeight="true" outlineLevel="0" collapsed="false">
      <c r="A9" s="7" t="s">
        <v>26</v>
      </c>
      <c r="B9" s="7" t="s">
        <v>382</v>
      </c>
      <c r="C9" s="7" t="s">
        <v>383</v>
      </c>
      <c r="D9" s="7" t="s">
        <v>384</v>
      </c>
      <c r="E9" s="7" t="s">
        <v>385</v>
      </c>
    </row>
    <row r="10" customFormat="false" ht="18" hidden="false" customHeight="true" outlineLevel="0" collapsed="false">
      <c r="A10" s="8" t="s">
        <v>386</v>
      </c>
      <c r="B10" s="8"/>
      <c r="C10" s="8"/>
      <c r="D10" s="8"/>
      <c r="E10" s="8"/>
    </row>
    <row r="11" customFormat="false" ht="30" hidden="false" customHeight="true" outlineLevel="0" collapsed="false">
      <c r="A11" s="9" t="s">
        <v>33</v>
      </c>
      <c r="B11" s="5" t="s">
        <v>387</v>
      </c>
      <c r="C11" s="5"/>
      <c r="D11" s="10"/>
      <c r="E11" s="5"/>
    </row>
    <row r="12" customFormat="false" ht="30" hidden="false" customHeight="true" outlineLevel="0" collapsed="false">
      <c r="A12" s="11" t="s">
        <v>39</v>
      </c>
      <c r="B12" s="12" t="s">
        <v>388</v>
      </c>
      <c r="C12" s="12"/>
      <c r="D12" s="13"/>
      <c r="E12" s="12"/>
    </row>
    <row r="13" customFormat="false" ht="30" hidden="false" customHeight="true" outlineLevel="0" collapsed="false">
      <c r="A13" s="9" t="s">
        <v>44</v>
      </c>
      <c r="B13" s="5" t="s">
        <v>389</v>
      </c>
      <c r="C13" s="5"/>
      <c r="D13" s="10"/>
      <c r="E13" s="5"/>
    </row>
    <row r="14" customFormat="false" ht="19.5" hidden="false" customHeight="true" outlineLevel="0" collapsed="false">
      <c r="A14" s="11" t="s">
        <v>390</v>
      </c>
      <c r="B14" s="22" t="s">
        <v>391</v>
      </c>
      <c r="C14" s="13"/>
      <c r="D14" s="11" t="s">
        <v>392</v>
      </c>
      <c r="E14" s="12"/>
    </row>
    <row r="15" customFormat="false" ht="18" hidden="false" customHeight="true" outlineLevel="0" collapsed="false">
      <c r="A15" s="8" t="s">
        <v>393</v>
      </c>
      <c r="B15" s="8"/>
      <c r="C15" s="8"/>
      <c r="D15" s="8"/>
      <c r="E15" s="8"/>
    </row>
    <row r="16" customFormat="false" ht="30" hidden="false" customHeight="true" outlineLevel="0" collapsed="false">
      <c r="A16" s="9" t="s">
        <v>50</v>
      </c>
      <c r="B16" s="5" t="s">
        <v>394</v>
      </c>
      <c r="C16" s="5"/>
      <c r="D16" s="10"/>
      <c r="E16" s="5"/>
    </row>
    <row r="17" customFormat="false" ht="30" hidden="false" customHeight="true" outlineLevel="0" collapsed="false">
      <c r="A17" s="11" t="s">
        <v>56</v>
      </c>
      <c r="B17" s="12" t="s">
        <v>395</v>
      </c>
      <c r="C17" s="12"/>
      <c r="D17" s="13"/>
      <c r="E17" s="12"/>
    </row>
    <row r="18" customFormat="false" ht="30" hidden="false" customHeight="true" outlineLevel="0" collapsed="false">
      <c r="A18" s="9" t="s">
        <v>61</v>
      </c>
      <c r="B18" s="5" t="s">
        <v>396</v>
      </c>
      <c r="C18" s="5"/>
      <c r="D18" s="10"/>
      <c r="E18" s="5"/>
    </row>
    <row r="19" customFormat="false" ht="19.5" hidden="false" customHeight="true" outlineLevel="0" collapsed="false">
      <c r="A19" s="11" t="s">
        <v>390</v>
      </c>
      <c r="B19" s="22" t="s">
        <v>397</v>
      </c>
      <c r="C19" s="13"/>
      <c r="D19" s="11" t="s">
        <v>392</v>
      </c>
      <c r="E19" s="12"/>
    </row>
    <row r="20" customFormat="false" ht="18" hidden="false" customHeight="true" outlineLevel="0" collapsed="false">
      <c r="A20" s="8" t="s">
        <v>398</v>
      </c>
      <c r="B20" s="8"/>
      <c r="C20" s="8"/>
      <c r="D20" s="8"/>
      <c r="E20" s="8"/>
    </row>
    <row r="21" customFormat="false" ht="30" hidden="false" customHeight="true" outlineLevel="0" collapsed="false">
      <c r="A21" s="9" t="s">
        <v>67</v>
      </c>
      <c r="B21" s="5" t="s">
        <v>399</v>
      </c>
      <c r="C21" s="5"/>
      <c r="D21" s="10"/>
      <c r="E21" s="5"/>
    </row>
    <row r="22" customFormat="false" ht="30" hidden="false" customHeight="true" outlineLevel="0" collapsed="false">
      <c r="A22" s="11" t="s">
        <v>73</v>
      </c>
      <c r="B22" s="12" t="s">
        <v>400</v>
      </c>
      <c r="C22" s="12"/>
      <c r="D22" s="13"/>
      <c r="E22" s="12"/>
    </row>
    <row r="23" customFormat="false" ht="30" hidden="false" customHeight="true" outlineLevel="0" collapsed="false">
      <c r="A23" s="9" t="s">
        <v>77</v>
      </c>
      <c r="B23" s="5" t="s">
        <v>401</v>
      </c>
      <c r="C23" s="5"/>
      <c r="D23" s="10"/>
      <c r="E23" s="5"/>
    </row>
    <row r="24" customFormat="false" ht="19.5" hidden="false" customHeight="true" outlineLevel="0" collapsed="false">
      <c r="A24" s="11" t="s">
        <v>390</v>
      </c>
      <c r="B24" s="22" t="s">
        <v>402</v>
      </c>
      <c r="C24" s="13"/>
      <c r="D24" s="11" t="s">
        <v>392</v>
      </c>
      <c r="E24" s="12"/>
    </row>
    <row r="25" customFormat="false" ht="18" hidden="false" customHeight="true" outlineLevel="0" collapsed="false">
      <c r="A25" s="8" t="s">
        <v>403</v>
      </c>
      <c r="B25" s="8"/>
      <c r="C25" s="8"/>
      <c r="D25" s="8"/>
      <c r="E25" s="8"/>
    </row>
    <row r="26" customFormat="false" ht="30" hidden="false" customHeight="true" outlineLevel="0" collapsed="false">
      <c r="A26" s="9" t="s">
        <v>84</v>
      </c>
      <c r="B26" s="5" t="s">
        <v>404</v>
      </c>
      <c r="C26" s="5"/>
      <c r="D26" s="10"/>
      <c r="E26" s="5"/>
    </row>
    <row r="27" customFormat="false" ht="30" hidden="false" customHeight="true" outlineLevel="0" collapsed="false">
      <c r="A27" s="11" t="s">
        <v>89</v>
      </c>
      <c r="B27" s="12" t="s">
        <v>405</v>
      </c>
      <c r="C27" s="12"/>
      <c r="D27" s="13"/>
      <c r="E27" s="12"/>
    </row>
    <row r="28" customFormat="false" ht="30" hidden="false" customHeight="true" outlineLevel="0" collapsed="false">
      <c r="A28" s="9" t="s">
        <v>94</v>
      </c>
      <c r="B28" s="5" t="s">
        <v>406</v>
      </c>
      <c r="C28" s="5"/>
      <c r="D28" s="10"/>
      <c r="E28" s="5"/>
    </row>
    <row r="29" customFormat="false" ht="19.5" hidden="false" customHeight="true" outlineLevel="0" collapsed="false">
      <c r="A29" s="11" t="s">
        <v>390</v>
      </c>
      <c r="B29" s="22" t="s">
        <v>407</v>
      </c>
      <c r="C29" s="13"/>
      <c r="D29" s="11" t="s">
        <v>392</v>
      </c>
      <c r="E29" s="12"/>
    </row>
    <row r="30" customFormat="false" ht="18" hidden="false" customHeight="true" outlineLevel="0" collapsed="false">
      <c r="A30" s="8" t="s">
        <v>408</v>
      </c>
      <c r="B30" s="8"/>
      <c r="C30" s="8"/>
      <c r="D30" s="8"/>
      <c r="E30" s="8"/>
    </row>
    <row r="31" customFormat="false" ht="30" hidden="false" customHeight="true" outlineLevel="0" collapsed="false">
      <c r="A31" s="9" t="s">
        <v>101</v>
      </c>
      <c r="B31" s="5" t="s">
        <v>409</v>
      </c>
      <c r="C31" s="5"/>
      <c r="D31" s="10"/>
      <c r="E31" s="5"/>
    </row>
    <row r="32" customFormat="false" ht="30" hidden="false" customHeight="true" outlineLevel="0" collapsed="false">
      <c r="A32" s="11" t="s">
        <v>105</v>
      </c>
      <c r="B32" s="12" t="s">
        <v>410</v>
      </c>
      <c r="C32" s="12"/>
      <c r="D32" s="13"/>
      <c r="E32" s="12"/>
    </row>
    <row r="33" customFormat="false" ht="19.5" hidden="false" customHeight="true" outlineLevel="0" collapsed="false">
      <c r="A33" s="11" t="s">
        <v>390</v>
      </c>
      <c r="B33" s="22" t="s">
        <v>411</v>
      </c>
      <c r="C33" s="13"/>
      <c r="D33" s="11" t="s">
        <v>392</v>
      </c>
      <c r="E33" s="12"/>
    </row>
    <row r="34" customFormat="false" ht="18" hidden="false" customHeight="true" outlineLevel="0" collapsed="false">
      <c r="A34" s="8" t="s">
        <v>412</v>
      </c>
      <c r="B34" s="8"/>
      <c r="C34" s="8"/>
      <c r="D34" s="8"/>
      <c r="E34" s="8"/>
    </row>
    <row r="35" customFormat="false" ht="30" hidden="false" customHeight="true" outlineLevel="0" collapsed="false">
      <c r="A35" s="9" t="s">
        <v>112</v>
      </c>
      <c r="B35" s="5" t="s">
        <v>413</v>
      </c>
      <c r="C35" s="5"/>
      <c r="D35" s="10"/>
      <c r="E35" s="5"/>
    </row>
    <row r="36" customFormat="false" ht="30" hidden="false" customHeight="true" outlineLevel="0" collapsed="false">
      <c r="A36" s="11" t="s">
        <v>117</v>
      </c>
      <c r="B36" s="12" t="s">
        <v>414</v>
      </c>
      <c r="C36" s="12"/>
      <c r="D36" s="13"/>
      <c r="E36" s="12"/>
    </row>
    <row r="37" customFormat="false" ht="19.5" hidden="false" customHeight="true" outlineLevel="0" collapsed="false">
      <c r="A37" s="11" t="s">
        <v>390</v>
      </c>
      <c r="B37" s="22" t="s">
        <v>415</v>
      </c>
      <c r="C37" s="13"/>
      <c r="D37" s="11" t="s">
        <v>392</v>
      </c>
      <c r="E37" s="12"/>
    </row>
    <row r="38" customFormat="false" ht="19.5" hidden="false" customHeight="true" outlineLevel="0" collapsed="false">
      <c r="A38" s="3" t="s">
        <v>416</v>
      </c>
      <c r="B38" s="3"/>
      <c r="C38" s="3"/>
      <c r="D38" s="3"/>
      <c r="E38" s="3"/>
    </row>
    <row r="39" customFormat="false" ht="19.5" hidden="false" customHeight="true" outlineLevel="0" collapsed="false">
      <c r="A39" s="23" t="s">
        <v>417</v>
      </c>
      <c r="B39" s="23"/>
      <c r="C39" s="23"/>
      <c r="D39" s="23"/>
      <c r="E39" s="23"/>
    </row>
    <row r="40" customFormat="false" ht="18" hidden="false" customHeight="true" outlineLevel="0" collapsed="false">
      <c r="A40" s="5" t="s">
        <v>418</v>
      </c>
      <c r="B40" s="5"/>
      <c r="C40" s="5"/>
      <c r="D40" s="5"/>
      <c r="E40" s="5"/>
    </row>
    <row r="41" customFormat="false" ht="21.75" hidden="false" customHeight="true" outlineLevel="0" collapsed="false">
      <c r="A41" s="5" t="s">
        <v>419</v>
      </c>
      <c r="B41" s="5"/>
      <c r="C41" s="5"/>
      <c r="D41" s="5"/>
      <c r="E41" s="5"/>
    </row>
    <row r="42" customFormat="false" ht="21.75" hidden="false" customHeight="true" outlineLevel="0" collapsed="false">
      <c r="A42" s="5" t="s">
        <v>420</v>
      </c>
      <c r="B42" s="5"/>
      <c r="C42" s="5"/>
      <c r="D42" s="5"/>
      <c r="E42" s="5"/>
    </row>
    <row r="43" customFormat="false" ht="21.75" hidden="false" customHeight="true" outlineLevel="0" collapsed="false">
      <c r="A43" s="5" t="s">
        <v>421</v>
      </c>
      <c r="B43" s="5"/>
      <c r="C43" s="5"/>
      <c r="D43" s="5"/>
      <c r="E43" s="5"/>
    </row>
    <row r="44" customFormat="false" ht="19.5" hidden="false" customHeight="true" outlineLevel="0" collapsed="false">
      <c r="A44" s="16" t="s">
        <v>422</v>
      </c>
      <c r="B44" s="16"/>
      <c r="C44" s="16"/>
      <c r="D44" s="16"/>
      <c r="E44" s="16"/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10:E10"/>
    <mergeCell ref="A15:E15"/>
    <mergeCell ref="A20:E20"/>
    <mergeCell ref="A25:E25"/>
    <mergeCell ref="A30:E30"/>
    <mergeCell ref="A34:E34"/>
    <mergeCell ref="A38:E38"/>
    <mergeCell ref="A39:E39"/>
    <mergeCell ref="A40:E40"/>
    <mergeCell ref="A41:E41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7.5" hidden="false" customHeight="true" outlineLevel="0" collapsed="false">
      <c r="A1" s="1" t="s">
        <v>423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424</v>
      </c>
      <c r="B2" s="2"/>
      <c r="C2" s="2"/>
      <c r="D2" s="2"/>
      <c r="E2" s="2"/>
    </row>
    <row r="3" customFormat="false" ht="39.75" hidden="false" customHeight="true" outlineLevel="0" collapsed="false">
      <c r="A3" s="6" t="s">
        <v>425</v>
      </c>
      <c r="B3" s="6"/>
      <c r="C3" s="6"/>
      <c r="D3" s="6"/>
      <c r="E3" s="6"/>
    </row>
    <row r="4" customFormat="false" ht="24" hidden="false" customHeight="true" outlineLevel="0" collapsed="false">
      <c r="A4" s="7" t="s">
        <v>26</v>
      </c>
      <c r="B4" s="7" t="s">
        <v>426</v>
      </c>
      <c r="C4" s="7" t="s">
        <v>427</v>
      </c>
      <c r="D4" s="7" t="s">
        <v>428</v>
      </c>
      <c r="E4" s="7" t="s">
        <v>429</v>
      </c>
    </row>
    <row r="5" customFormat="false" ht="18" hidden="false" customHeight="true" outlineLevel="0" collapsed="false">
      <c r="A5" s="8" t="s">
        <v>430</v>
      </c>
      <c r="B5" s="8"/>
      <c r="C5" s="8"/>
      <c r="D5" s="8"/>
      <c r="E5" s="8"/>
    </row>
    <row r="6" customFormat="false" ht="72" hidden="false" customHeight="true" outlineLevel="0" collapsed="false">
      <c r="A6" s="9" t="s">
        <v>132</v>
      </c>
      <c r="B6" s="5" t="s">
        <v>431</v>
      </c>
      <c r="C6" s="5" t="s">
        <v>432</v>
      </c>
      <c r="D6" s="10"/>
      <c r="E6" s="5"/>
    </row>
    <row r="7" customFormat="false" ht="72" hidden="false" customHeight="true" outlineLevel="0" collapsed="false">
      <c r="A7" s="11" t="s">
        <v>138</v>
      </c>
      <c r="B7" s="12" t="s">
        <v>433</v>
      </c>
      <c r="C7" s="12" t="s">
        <v>434</v>
      </c>
      <c r="D7" s="13"/>
      <c r="E7" s="12"/>
    </row>
    <row r="8" customFormat="false" ht="18" hidden="false" customHeight="true" outlineLevel="0" collapsed="false">
      <c r="A8" s="8" t="s">
        <v>435</v>
      </c>
      <c r="B8" s="8"/>
      <c r="C8" s="8"/>
      <c r="D8" s="8"/>
      <c r="E8" s="8"/>
    </row>
    <row r="9" customFormat="false" ht="72" hidden="false" customHeight="true" outlineLevel="0" collapsed="false">
      <c r="A9" s="9" t="s">
        <v>144</v>
      </c>
      <c r="B9" s="5" t="s">
        <v>436</v>
      </c>
      <c r="C9" s="5" t="s">
        <v>437</v>
      </c>
      <c r="D9" s="10"/>
      <c r="E9" s="5"/>
    </row>
    <row r="10" customFormat="false" ht="72" hidden="false" customHeight="true" outlineLevel="0" collapsed="false">
      <c r="A10" s="11" t="s">
        <v>150</v>
      </c>
      <c r="B10" s="12" t="s">
        <v>438</v>
      </c>
      <c r="C10" s="12" t="s">
        <v>439</v>
      </c>
      <c r="D10" s="13"/>
      <c r="E10" s="12"/>
    </row>
    <row r="11" customFormat="false" ht="18" hidden="false" customHeight="true" outlineLevel="0" collapsed="false">
      <c r="A11" s="8" t="s">
        <v>440</v>
      </c>
      <c r="B11" s="8"/>
      <c r="C11" s="8"/>
      <c r="D11" s="8"/>
      <c r="E11" s="8"/>
    </row>
    <row r="12" customFormat="false" ht="72" hidden="false" customHeight="true" outlineLevel="0" collapsed="false">
      <c r="A12" s="9" t="s">
        <v>155</v>
      </c>
      <c r="B12" s="5" t="s">
        <v>441</v>
      </c>
      <c r="C12" s="5" t="s">
        <v>442</v>
      </c>
      <c r="D12" s="10"/>
      <c r="E12" s="5"/>
    </row>
    <row r="13" customFormat="false" ht="72" hidden="false" customHeight="true" outlineLevel="0" collapsed="false">
      <c r="A13" s="11" t="s">
        <v>161</v>
      </c>
      <c r="B13" s="12" t="s">
        <v>443</v>
      </c>
      <c r="C13" s="12" t="s">
        <v>444</v>
      </c>
      <c r="D13" s="13"/>
      <c r="E13" s="12"/>
    </row>
    <row r="14" customFormat="false" ht="18" hidden="false" customHeight="true" outlineLevel="0" collapsed="false">
      <c r="A14" s="8" t="s">
        <v>445</v>
      </c>
      <c r="B14" s="8"/>
      <c r="C14" s="8"/>
      <c r="D14" s="8"/>
      <c r="E14" s="8"/>
    </row>
    <row r="15" customFormat="false" ht="72" hidden="false" customHeight="true" outlineLevel="0" collapsed="false">
      <c r="A15" s="9" t="s">
        <v>446</v>
      </c>
      <c r="B15" s="5" t="s">
        <v>447</v>
      </c>
      <c r="C15" s="5" t="s">
        <v>448</v>
      </c>
      <c r="D15" s="10"/>
      <c r="E15" s="5"/>
    </row>
    <row r="16" customFormat="false" ht="72" hidden="false" customHeight="true" outlineLevel="0" collapsed="false">
      <c r="A16" s="11" t="s">
        <v>449</v>
      </c>
      <c r="B16" s="12" t="s">
        <v>450</v>
      </c>
      <c r="C16" s="12" t="s">
        <v>451</v>
      </c>
      <c r="D16" s="13"/>
      <c r="E16" s="12"/>
    </row>
  </sheetData>
  <mergeCells count="7">
    <mergeCell ref="A1:E1"/>
    <mergeCell ref="A2:E2"/>
    <mergeCell ref="A3:E3"/>
    <mergeCell ref="A5:E5"/>
    <mergeCell ref="A8:E8"/>
    <mergeCell ref="A11:E1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" t="s">
        <v>452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453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454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5" t="s">
        <v>455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5" t="s">
        <v>456</v>
      </c>
      <c r="B5" s="5"/>
      <c r="C5" s="5"/>
      <c r="D5" s="5"/>
      <c r="E5" s="5"/>
      <c r="F5" s="5"/>
    </row>
    <row r="6" customFormat="false" ht="18" hidden="false" customHeight="true" outlineLevel="0" collapsed="false">
      <c r="A6" s="5" t="s">
        <v>457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5" t="s">
        <v>458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3" t="s">
        <v>459</v>
      </c>
      <c r="B8" s="3"/>
      <c r="C8" s="3"/>
      <c r="D8" s="3"/>
      <c r="E8" s="3"/>
      <c r="F8" s="3"/>
    </row>
    <row r="9" customFormat="false" ht="24" hidden="false" customHeight="true" outlineLevel="0" collapsed="false">
      <c r="A9" s="7" t="s">
        <v>273</v>
      </c>
      <c r="B9" s="7" t="s">
        <v>128</v>
      </c>
      <c r="C9" s="7" t="s">
        <v>428</v>
      </c>
      <c r="D9" s="7" t="s">
        <v>460</v>
      </c>
      <c r="E9" s="7" t="s">
        <v>461</v>
      </c>
      <c r="F9" s="7" t="s">
        <v>462</v>
      </c>
    </row>
    <row r="10" customFormat="false" ht="21.75" hidden="false" customHeight="true" outlineLevel="0" collapsed="false">
      <c r="A10" s="17" t="s">
        <v>463</v>
      </c>
      <c r="B10" s="10" t="s">
        <v>134</v>
      </c>
      <c r="C10" s="10"/>
      <c r="D10" s="10" t="str">
        <f aca="false">IF(C10="","",C10*0.25)</f>
        <v/>
      </c>
      <c r="E10" s="10" t="s">
        <v>464</v>
      </c>
      <c r="F10" s="5"/>
    </row>
    <row r="11" customFormat="false" ht="21.75" hidden="false" customHeight="true" outlineLevel="0" collapsed="false">
      <c r="A11" s="22" t="s">
        <v>465</v>
      </c>
      <c r="B11" s="13" t="s">
        <v>140</v>
      </c>
      <c r="C11" s="13"/>
      <c r="D11" s="13" t="str">
        <f aca="false">IF(C11="","",C11*0.18)</f>
        <v/>
      </c>
      <c r="E11" s="13" t="s">
        <v>464</v>
      </c>
      <c r="F11" s="12"/>
    </row>
    <row r="12" customFormat="false" ht="21.75" hidden="false" customHeight="true" outlineLevel="0" collapsed="false">
      <c r="A12" s="17" t="s">
        <v>466</v>
      </c>
      <c r="B12" s="10" t="s">
        <v>140</v>
      </c>
      <c r="C12" s="10"/>
      <c r="D12" s="10" t="str">
        <f aca="false">IF(C12="","",C12*0.18)</f>
        <v/>
      </c>
      <c r="E12" s="10" t="s">
        <v>464</v>
      </c>
      <c r="F12" s="5"/>
    </row>
    <row r="13" customFormat="false" ht="21.75" hidden="false" customHeight="true" outlineLevel="0" collapsed="false">
      <c r="A13" s="22" t="s">
        <v>467</v>
      </c>
      <c r="B13" s="13" t="s">
        <v>140</v>
      </c>
      <c r="C13" s="13"/>
      <c r="D13" s="13" t="str">
        <f aca="false">IF(C13="","",C13*0.18)</f>
        <v/>
      </c>
      <c r="E13" s="13" t="s">
        <v>464</v>
      </c>
      <c r="F13" s="12"/>
    </row>
    <row r="14" customFormat="false" ht="21.75" hidden="false" customHeight="true" outlineLevel="0" collapsed="false">
      <c r="A14" s="17" t="s">
        <v>468</v>
      </c>
      <c r="B14" s="10" t="s">
        <v>205</v>
      </c>
      <c r="C14" s="10"/>
      <c r="D14" s="10" t="str">
        <f aca="false">IF(C14="","",C14*0.13)</f>
        <v/>
      </c>
      <c r="E14" s="10" t="s">
        <v>464</v>
      </c>
      <c r="F14" s="5"/>
    </row>
    <row r="15" customFormat="false" ht="21.75" hidden="false" customHeight="true" outlineLevel="0" collapsed="false">
      <c r="A15" s="22" t="s">
        <v>469</v>
      </c>
      <c r="B15" s="13" t="s">
        <v>209</v>
      </c>
      <c r="C15" s="13"/>
      <c r="D15" s="13" t="str">
        <f aca="false">IF(C15="","",C15*0.08)</f>
        <v/>
      </c>
      <c r="E15" s="13" t="s">
        <v>464</v>
      </c>
      <c r="F15" s="12"/>
    </row>
    <row r="16" customFormat="false" ht="21.75" hidden="false" customHeight="true" outlineLevel="0" collapsed="false">
      <c r="A16" s="14" t="s">
        <v>470</v>
      </c>
      <c r="B16" s="8"/>
      <c r="C16" s="8"/>
      <c r="D16" s="7" t="n">
        <f aca="false">SUM(D10:D15)</f>
        <v>0</v>
      </c>
      <c r="E16" s="8"/>
      <c r="F16" s="8"/>
    </row>
    <row r="17" customFormat="false" ht="19.5" hidden="false" customHeight="true" outlineLevel="0" collapsed="false">
      <c r="A17" s="3" t="s">
        <v>471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5" t="s">
        <v>472</v>
      </c>
      <c r="B18" s="5"/>
      <c r="C18" s="5"/>
      <c r="D18" s="5"/>
      <c r="E18" s="5"/>
      <c r="F18" s="5"/>
    </row>
    <row r="19" customFormat="false" ht="19.5" hidden="false" customHeight="true" outlineLevel="0" collapsed="false">
      <c r="A19" s="5" t="s">
        <v>473</v>
      </c>
      <c r="B19" s="5"/>
      <c r="C19" s="5"/>
      <c r="D19" s="5"/>
      <c r="E19" s="5"/>
      <c r="F19" s="5"/>
    </row>
    <row r="20" customFormat="false" ht="19.5" hidden="false" customHeight="true" outlineLevel="0" collapsed="false">
      <c r="A20" s="5" t="s">
        <v>474</v>
      </c>
      <c r="B20" s="5"/>
      <c r="C20" s="5"/>
      <c r="D20" s="5"/>
      <c r="E20" s="5"/>
      <c r="F20" s="5"/>
    </row>
    <row r="21" customFormat="false" ht="19.5" hidden="false" customHeight="true" outlineLevel="0" collapsed="false">
      <c r="A21" s="5" t="s">
        <v>475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5" t="s">
        <v>476</v>
      </c>
      <c r="B22" s="5"/>
      <c r="C22" s="5"/>
      <c r="D22" s="5"/>
      <c r="E22" s="5"/>
      <c r="F22" s="5"/>
    </row>
    <row r="23" customFormat="false" ht="19.5" hidden="false" customHeight="true" outlineLevel="0" collapsed="false">
      <c r="A23" s="5" t="s">
        <v>477</v>
      </c>
      <c r="B23" s="5"/>
      <c r="C23" s="5"/>
      <c r="D23" s="5"/>
      <c r="E23" s="5"/>
      <c r="F23" s="5"/>
    </row>
    <row r="24" customFormat="false" ht="19.5" hidden="false" customHeight="true" outlineLevel="0" collapsed="false">
      <c r="A24" s="3" t="s">
        <v>478</v>
      </c>
      <c r="B24" s="3"/>
      <c r="C24" s="3"/>
      <c r="D24" s="3"/>
      <c r="E24" s="3"/>
      <c r="F24" s="3"/>
    </row>
    <row r="25" customFormat="false" ht="21.75" hidden="false" customHeight="true" outlineLevel="0" collapsed="false">
      <c r="A25" s="17" t="s">
        <v>479</v>
      </c>
      <c r="B25" s="5" t="s">
        <v>480</v>
      </c>
      <c r="C25" s="5"/>
      <c r="D25" s="5"/>
      <c r="E25" s="5"/>
      <c r="F25" s="5"/>
    </row>
    <row r="26" customFormat="false" ht="21.75" hidden="false" customHeight="true" outlineLevel="0" collapsed="false">
      <c r="A26" s="22" t="s">
        <v>481</v>
      </c>
      <c r="B26" s="12" t="s">
        <v>482</v>
      </c>
      <c r="C26" s="12"/>
      <c r="D26" s="12"/>
      <c r="E26" s="12"/>
      <c r="F26" s="12"/>
    </row>
    <row r="27" customFormat="false" ht="21.75" hidden="false" customHeight="true" outlineLevel="0" collapsed="false">
      <c r="A27" s="17" t="s">
        <v>483</v>
      </c>
      <c r="B27" s="5" t="s">
        <v>484</v>
      </c>
      <c r="C27" s="5"/>
      <c r="D27" s="5"/>
      <c r="E27" s="5"/>
      <c r="F27" s="5"/>
    </row>
    <row r="28" customFormat="false" ht="21.75" hidden="false" customHeight="true" outlineLevel="0" collapsed="false">
      <c r="A28" s="22" t="s">
        <v>485</v>
      </c>
      <c r="B28" s="12" t="s">
        <v>486</v>
      </c>
      <c r="C28" s="12"/>
      <c r="D28" s="12"/>
      <c r="E28" s="12"/>
      <c r="F28" s="12"/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17:F17"/>
    <mergeCell ref="A18:F18"/>
    <mergeCell ref="A19:F19"/>
    <mergeCell ref="A20:F20"/>
    <mergeCell ref="A21:F21"/>
    <mergeCell ref="A22:F22"/>
    <mergeCell ref="A23:F23"/>
    <mergeCell ref="A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1" t="s">
        <v>487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488</v>
      </c>
      <c r="B2" s="2"/>
      <c r="C2" s="2"/>
      <c r="D2" s="2"/>
      <c r="E2" s="2"/>
    </row>
    <row r="3" customFormat="false" ht="33.75" hidden="false" customHeight="true" outlineLevel="0" collapsed="false">
      <c r="A3" s="6" t="s">
        <v>489</v>
      </c>
      <c r="B3" s="6"/>
      <c r="C3" s="6"/>
      <c r="D3" s="6"/>
      <c r="E3" s="6"/>
    </row>
    <row r="4" customFormat="false" ht="33.75" hidden="false" customHeight="true" outlineLevel="0" collapsed="false">
      <c r="A4" s="6" t="s">
        <v>490</v>
      </c>
      <c r="B4" s="6"/>
      <c r="C4" s="6"/>
      <c r="D4" s="6"/>
      <c r="E4" s="6"/>
    </row>
    <row r="5" customFormat="false" ht="24" hidden="false" customHeight="true" outlineLevel="0" collapsed="false">
      <c r="A5" s="7" t="s">
        <v>491</v>
      </c>
      <c r="B5" s="7" t="s">
        <v>492</v>
      </c>
      <c r="C5" s="7" t="s">
        <v>493</v>
      </c>
      <c r="D5" s="7" t="s">
        <v>494</v>
      </c>
      <c r="E5" s="7" t="s">
        <v>495</v>
      </c>
    </row>
    <row r="6" customFormat="false" ht="18" hidden="false" customHeight="true" outlineLevel="0" collapsed="false">
      <c r="A6" s="8" t="s">
        <v>496</v>
      </c>
      <c r="B6" s="8"/>
      <c r="C6" s="8"/>
      <c r="D6" s="8"/>
      <c r="E6" s="8"/>
    </row>
    <row r="7" customFormat="false" ht="55.5" hidden="false" customHeight="true" outlineLevel="0" collapsed="false">
      <c r="A7" s="9" t="s">
        <v>497</v>
      </c>
      <c r="B7" s="5" t="s">
        <v>498</v>
      </c>
      <c r="C7" s="5" t="s">
        <v>499</v>
      </c>
      <c r="D7" s="10" t="s">
        <v>48</v>
      </c>
      <c r="E7" s="10" t="s">
        <v>500</v>
      </c>
    </row>
    <row r="8" customFormat="false" ht="55.5" hidden="false" customHeight="true" outlineLevel="0" collapsed="false">
      <c r="A8" s="11" t="s">
        <v>501</v>
      </c>
      <c r="B8" s="12" t="s">
        <v>502</v>
      </c>
      <c r="C8" s="12" t="s">
        <v>503</v>
      </c>
      <c r="D8" s="13" t="s">
        <v>48</v>
      </c>
      <c r="E8" s="13" t="s">
        <v>500</v>
      </c>
    </row>
    <row r="9" customFormat="false" ht="55.5" hidden="false" customHeight="true" outlineLevel="0" collapsed="false">
      <c r="A9" s="9" t="s">
        <v>504</v>
      </c>
      <c r="B9" s="5" t="s">
        <v>505</v>
      </c>
      <c r="C9" s="5" t="s">
        <v>506</v>
      </c>
      <c r="D9" s="10" t="s">
        <v>125</v>
      </c>
      <c r="E9" s="10" t="s">
        <v>500</v>
      </c>
    </row>
    <row r="10" customFormat="false" ht="55.5" hidden="false" customHeight="true" outlineLevel="0" collapsed="false">
      <c r="A10" s="11" t="s">
        <v>507</v>
      </c>
      <c r="B10" s="12" t="s">
        <v>508</v>
      </c>
      <c r="C10" s="12" t="s">
        <v>509</v>
      </c>
      <c r="D10" s="13" t="s">
        <v>48</v>
      </c>
      <c r="E10" s="13" t="s">
        <v>500</v>
      </c>
    </row>
    <row r="11" customFormat="false" ht="51.75" hidden="false" customHeight="true" outlineLevel="0" collapsed="false">
      <c r="A11" s="24" t="s">
        <v>510</v>
      </c>
      <c r="B11" s="24" t="s">
        <v>511</v>
      </c>
      <c r="C11" s="20" t="s">
        <v>512</v>
      </c>
      <c r="D11" s="25" t="s">
        <v>48</v>
      </c>
      <c r="E11" s="25" t="s">
        <v>500</v>
      </c>
    </row>
    <row r="12" customFormat="false" ht="18" hidden="false" customHeight="true" outlineLevel="0" collapsed="false">
      <c r="A12" s="8" t="s">
        <v>513</v>
      </c>
      <c r="B12" s="8"/>
      <c r="C12" s="8"/>
      <c r="D12" s="8"/>
      <c r="E12" s="8"/>
    </row>
    <row r="13" customFormat="false" ht="55.5" hidden="false" customHeight="true" outlineLevel="0" collapsed="false">
      <c r="A13" s="9" t="s">
        <v>514</v>
      </c>
      <c r="B13" s="5" t="s">
        <v>515</v>
      </c>
      <c r="C13" s="5" t="s">
        <v>516</v>
      </c>
      <c r="D13" s="10" t="s">
        <v>38</v>
      </c>
      <c r="E13" s="10" t="s">
        <v>500</v>
      </c>
    </row>
    <row r="14" customFormat="false" ht="55.5" hidden="false" customHeight="true" outlineLevel="0" collapsed="false">
      <c r="A14" s="11" t="s">
        <v>517</v>
      </c>
      <c r="B14" s="12" t="s">
        <v>518</v>
      </c>
      <c r="C14" s="12" t="s">
        <v>519</v>
      </c>
      <c r="D14" s="13" t="s">
        <v>520</v>
      </c>
      <c r="E14" s="13" t="s">
        <v>500</v>
      </c>
    </row>
    <row r="15" customFormat="false" ht="55.5" hidden="false" customHeight="true" outlineLevel="0" collapsed="false">
      <c r="A15" s="9" t="s">
        <v>521</v>
      </c>
      <c r="B15" s="5" t="s">
        <v>522</v>
      </c>
      <c r="C15" s="5" t="s">
        <v>523</v>
      </c>
      <c r="D15" s="10" t="s">
        <v>72</v>
      </c>
      <c r="E15" s="10" t="s">
        <v>500</v>
      </c>
    </row>
    <row r="16" customFormat="false" ht="51.75" hidden="false" customHeight="true" outlineLevel="0" collapsed="false">
      <c r="A16" s="24" t="s">
        <v>524</v>
      </c>
      <c r="B16" s="24" t="s">
        <v>511</v>
      </c>
      <c r="C16" s="20" t="s">
        <v>525</v>
      </c>
      <c r="D16" s="25" t="s">
        <v>48</v>
      </c>
      <c r="E16" s="25" t="s">
        <v>500</v>
      </c>
    </row>
    <row r="17" customFormat="false" ht="18" hidden="false" customHeight="true" outlineLevel="0" collapsed="false">
      <c r="A17" s="8" t="s">
        <v>526</v>
      </c>
      <c r="B17" s="8"/>
      <c r="C17" s="8"/>
      <c r="D17" s="8"/>
      <c r="E17" s="8"/>
    </row>
    <row r="18" customFormat="false" ht="55.5" hidden="false" customHeight="true" outlineLevel="0" collapsed="false">
      <c r="A18" s="11" t="s">
        <v>527</v>
      </c>
      <c r="B18" s="12" t="s">
        <v>528</v>
      </c>
      <c r="C18" s="12" t="s">
        <v>529</v>
      </c>
      <c r="D18" s="13" t="s">
        <v>530</v>
      </c>
      <c r="E18" s="13" t="s">
        <v>500</v>
      </c>
    </row>
    <row r="19" customFormat="false" ht="55.5" hidden="false" customHeight="true" outlineLevel="0" collapsed="false">
      <c r="A19" s="9" t="s">
        <v>531</v>
      </c>
      <c r="B19" s="5" t="s">
        <v>532</v>
      </c>
      <c r="C19" s="5" t="s">
        <v>533</v>
      </c>
      <c r="D19" s="10" t="s">
        <v>125</v>
      </c>
      <c r="E19" s="10" t="s">
        <v>500</v>
      </c>
    </row>
    <row r="20" customFormat="false" ht="55.5" hidden="false" customHeight="true" outlineLevel="0" collapsed="false">
      <c r="A20" s="11" t="s">
        <v>534</v>
      </c>
      <c r="B20" s="12" t="s">
        <v>535</v>
      </c>
      <c r="C20" s="12" t="s">
        <v>536</v>
      </c>
      <c r="D20" s="13" t="s">
        <v>48</v>
      </c>
      <c r="E20" s="13" t="s">
        <v>500</v>
      </c>
    </row>
    <row r="21" customFormat="false" ht="51.75" hidden="false" customHeight="true" outlineLevel="0" collapsed="false">
      <c r="A21" s="24" t="s">
        <v>537</v>
      </c>
      <c r="B21" s="24" t="s">
        <v>511</v>
      </c>
      <c r="C21" s="20" t="s">
        <v>538</v>
      </c>
      <c r="D21" s="25" t="s">
        <v>48</v>
      </c>
      <c r="E21" s="25" t="s">
        <v>500</v>
      </c>
    </row>
  </sheetData>
  <mergeCells count="7">
    <mergeCell ref="A1:E1"/>
    <mergeCell ref="A2:E2"/>
    <mergeCell ref="A3:E3"/>
    <mergeCell ref="A4:E4"/>
    <mergeCell ref="A6:E6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40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" t="s">
        <v>539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540</v>
      </c>
      <c r="B2" s="2"/>
      <c r="C2" s="2"/>
      <c r="D2" s="2"/>
      <c r="E2" s="2"/>
    </row>
    <row r="3" customFormat="false" ht="24" hidden="false" customHeight="true" outlineLevel="0" collapsed="false">
      <c r="A3" s="7" t="s">
        <v>234</v>
      </c>
      <c r="B3" s="7" t="s">
        <v>235</v>
      </c>
      <c r="C3" s="7" t="s">
        <v>236</v>
      </c>
      <c r="D3" s="7" t="s">
        <v>237</v>
      </c>
      <c r="E3" s="7" t="s">
        <v>239</v>
      </c>
    </row>
    <row r="4" customFormat="false" ht="45.75" hidden="false" customHeight="true" outlineLevel="0" collapsed="false">
      <c r="A4" s="9" t="s">
        <v>240</v>
      </c>
      <c r="B4" s="5" t="s">
        <v>241</v>
      </c>
      <c r="C4" s="5" t="s">
        <v>541</v>
      </c>
      <c r="D4" s="5" t="s">
        <v>243</v>
      </c>
      <c r="E4" s="10" t="s">
        <v>244</v>
      </c>
    </row>
    <row r="5" customFormat="false" ht="45.75" hidden="false" customHeight="true" outlineLevel="0" collapsed="false">
      <c r="A5" s="11" t="s">
        <v>542</v>
      </c>
      <c r="B5" s="12" t="s">
        <v>246</v>
      </c>
      <c r="C5" s="12" t="s">
        <v>247</v>
      </c>
      <c r="D5" s="12" t="s">
        <v>248</v>
      </c>
      <c r="E5" s="13" t="s">
        <v>542</v>
      </c>
    </row>
    <row r="6" customFormat="false" ht="45.75" hidden="false" customHeight="true" outlineLevel="0" collapsed="false">
      <c r="A6" s="9" t="s">
        <v>543</v>
      </c>
      <c r="B6" s="5" t="s">
        <v>250</v>
      </c>
      <c r="C6" s="5" t="s">
        <v>251</v>
      </c>
      <c r="D6" s="5" t="s">
        <v>252</v>
      </c>
      <c r="E6" s="10" t="s">
        <v>544</v>
      </c>
    </row>
    <row r="7" customFormat="false" ht="45.75" hidden="false" customHeight="true" outlineLevel="0" collapsed="false">
      <c r="A7" s="11" t="s">
        <v>255</v>
      </c>
      <c r="B7" s="12" t="s">
        <v>256</v>
      </c>
      <c r="C7" s="12" t="s">
        <v>257</v>
      </c>
      <c r="D7" s="12" t="s">
        <v>258</v>
      </c>
      <c r="E7" s="13" t="s">
        <v>260</v>
      </c>
    </row>
    <row r="8" customFormat="false" ht="19.5" hidden="false" customHeight="true" outlineLevel="0" collapsed="false">
      <c r="A8" s="3" t="s">
        <v>545</v>
      </c>
      <c r="B8" s="3"/>
      <c r="C8" s="3"/>
      <c r="D8" s="3"/>
      <c r="E8" s="3"/>
    </row>
    <row r="9" customFormat="false" ht="33.75" hidden="false" customHeight="true" outlineLevel="0" collapsed="false">
      <c r="A9" s="5" t="s">
        <v>546</v>
      </c>
      <c r="B9" s="5"/>
      <c r="C9" s="5"/>
      <c r="D9" s="5"/>
      <c r="E9" s="5"/>
    </row>
    <row r="10" customFormat="false" ht="33.75" hidden="false" customHeight="true" outlineLevel="0" collapsed="false">
      <c r="A10" s="5" t="s">
        <v>547</v>
      </c>
      <c r="B10" s="5"/>
      <c r="C10" s="5"/>
      <c r="D10" s="5"/>
      <c r="E10" s="5"/>
    </row>
    <row r="11" customFormat="false" ht="33.75" hidden="false" customHeight="true" outlineLevel="0" collapsed="false">
      <c r="A11" s="5" t="s">
        <v>548</v>
      </c>
      <c r="B11" s="5"/>
      <c r="C11" s="5"/>
      <c r="D11" s="5"/>
      <c r="E11" s="5"/>
    </row>
    <row r="12" customFormat="false" ht="19.5" hidden="false" customHeight="true" outlineLevel="0" collapsed="false">
      <c r="A12" s="3" t="s">
        <v>549</v>
      </c>
      <c r="B12" s="3"/>
      <c r="C12" s="3"/>
      <c r="D12" s="3"/>
      <c r="E12" s="3"/>
    </row>
    <row r="13" customFormat="false" ht="24" hidden="false" customHeight="true" outlineLevel="0" collapsed="false">
      <c r="A13" s="26" t="s">
        <v>550</v>
      </c>
      <c r="B13" s="26"/>
      <c r="C13" s="26"/>
      <c r="D13" s="26"/>
      <c r="E13" s="26"/>
    </row>
    <row r="14" customFormat="false" ht="24" hidden="false" customHeight="true" outlineLevel="0" collapsed="false">
      <c r="A14" s="26" t="s">
        <v>551</v>
      </c>
      <c r="B14" s="26"/>
      <c r="C14" s="26"/>
      <c r="D14" s="26"/>
      <c r="E14" s="26"/>
    </row>
    <row r="15" customFormat="false" ht="24" hidden="false" customHeight="true" outlineLevel="0" collapsed="false">
      <c r="A15" s="26" t="s">
        <v>552</v>
      </c>
      <c r="B15" s="26"/>
      <c r="C15" s="26"/>
      <c r="D15" s="26"/>
      <c r="E15" s="26"/>
    </row>
  </sheetData>
  <mergeCells count="10">
    <mergeCell ref="A1:E1"/>
    <mergeCell ref="A2:E2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2026-06-04T06:41:11Z</dcterms:created>
  <dc:creator>openpyxl</dc:creator>
  <dc:description/>
  <dc:language>en-US</dc:language>
  <cp:lastModifiedBy/>
  <dcterms:modified xsi:type="dcterms:W3CDTF">2026-06-04T06:41:11Z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