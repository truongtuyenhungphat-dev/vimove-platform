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tả công việc" sheetId="1" state="visible" r:id="rId3"/>
    <sheet name="Khung năng lực" sheetId="2" state="visible" r:id="rId4"/>
    <sheet name="Phiếu đánh giá cá nhân" sheetId="3" state="visible" r:id="rId5"/>
    <sheet name="Câu hỏi phỏng vấn" sheetId="4" state="visible" r:id="rId6"/>
    <sheet name="Score Card ứng viên" sheetId="5" state="visible" r:id="rId7"/>
    <sheet name="Kế hoạch 30-60-90 ngày" sheetId="6" state="visible" r:id="rId8"/>
    <sheet name="Lộ trình phát triể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<sst xmlns="http://schemas.openxmlformats.org/spreadsheetml/2006/main" count="746" uniqueCount="570">
  <si>
    <t xml:space="preserve">MÔ TẢ CÔNG VIỆC – TRƯỞNG NHÓM MEDIA (TRUYỀN THÔNG &amp; QUẢNG CÁO)</t>
  </si>
  <si>
    <t xml:space="preserve">CTCP Hùng Phát | Nhóm Media | Mã vị trí: TNMEDIA | Phiên bản v1.0</t>
  </si>
  <si>
    <t xml:space="preserve">▌ I. THÔNG TIN CHUNG</t>
  </si>
  <si>
    <t xml:space="preserve">Chức danh</t>
  </si>
  <si>
    <t xml:space="preserve">Trưởng nhóm Media (Truyền thông &amp; Quảng cáo) (Media Team Lead (Paid Media &amp; Distribution))</t>
  </si>
  <si>
    <t xml:space="preserve">Mã vị trí</t>
  </si>
  <si>
    <t xml:space="preserve">TNMEDIA</t>
  </si>
  <si>
    <t xml:space="preserve">Phòng / Nhóm</t>
  </si>
  <si>
    <t xml:space="preserve">Phòng Marketing – Nhóm Media (Truyền thông &amp; Quảng cáo)</t>
  </si>
  <si>
    <t xml:space="preserve">Cấp báo cáo</t>
  </si>
  <si>
    <t xml:space="preserve">Trưởng phòng Marketing / Giám đốc Marketing</t>
  </si>
  <si>
    <t xml:space="preserve">Cấp dưới trực tiếp</t>
  </si>
  <si>
    <t xml:space="preserve">Nhân viên Media (Media Buyer / Ad Operations)</t>
  </si>
  <si>
    <t xml:space="preserve">Tính chất vị trí</t>
  </si>
  <si>
    <t xml:space="preserve">Quản lý nhóm + TRỰC TIẾP vận hành: lập media plan, chạy &amp; tối ưu quảng cáo, phân phối</t>
  </si>
  <si>
    <t xml:space="preserve">Phạm vi Media</t>
  </si>
  <si>
    <t xml:space="preserve">Paid Media (Meta/Google/TikTok Ads...) · Phân phối nội dung · KOL/KOC/booking · Đo lường hiệu quả</t>
  </si>
  <si>
    <t xml:space="preserve">Quan hệ với nhóm Content</t>
  </si>
  <si>
    <t xml:space="preserve">Content SẢN XUẤT nội dung – Media PHÂN PHỐI &amp; QUẢNG CÁO để tối đa hiệu quả &amp; ROAS</t>
  </si>
  <si>
    <t xml:space="preserve">Địa điểm / Ca</t>
  </si>
  <si>
    <t xml:space="preserve">Văn phòng HP; làm việc chính trên các nền tảng quảng cáo &amp; công cụ đo lường | Giờ hành chính; theo dõi &amp; tối ưu chiến dịch linh hoạt theo nhịp campaign &amp; sự kiện</t>
  </si>
  <si>
    <t xml:space="preserve">Ngày hiệu lực / JD</t>
  </si>
  <si>
    <t xml:space="preserve">___/___/______ | v1.0</t>
  </si>
  <si>
    <t xml:space="preserve">▌ II. MỤC ĐÍCH VỊ TRÍ</t>
  </si>
  <si>
    <t xml:space="preserve">Trưởng nhóm Media chịu trách nhiệm hoạch định &amp; vận hành toàn bộ hoạt động truyền thông – quảng cáo trả phí và phân phối nội dung của HP nhằm tối đa độ phủ, hiệu quả và ROAS trong ngân sách. Vị trí vừa dẫn dắt nhóm vừa TRỰC TIẾP vận hành: lập media plan, set up &amp; tối ưu chiến dịch trên các nền tảng (Meta/Google/TikTok Ads...), phân phối nội dung do nhóm Content sản xuất tới đúng tệp, phối hợp KOL/KOC/booking, và đo lường hiệu quả bằng dữ liệu (tracking, attribution). Trưởng nhóm vừa là media buyer giỏi (hands-on), vừa chuẩn hóa quy trình + huấn luyện nhóm. Ưu tiên cốt lõi: HIỆU QUẢ MEDIA (ROAS/CPA đạt mục tiêu) – PHÂN PHỐI ĐÚNG TỆP &amp; ĐỦ ĐỘ PHỦ – KỶ LUẬT NGÂN SÁCH – ĐO LƯỜNG MINH BẠCH, và phát triển đội ngũ media.</t>
  </si>
  <si>
    <t xml:space="preserve">▌ III. TRÁCH NHIỆM CHÍNH &amp; KPI</t>
  </si>
  <si>
    <t xml:space="preserve">#</t>
  </si>
  <si>
    <t xml:space="preserve">TRÁCH NHIỆM / NHIỆM VỤ</t>
  </si>
  <si>
    <t xml:space="preserve">KPI / TIÊU CHUẨN</t>
  </si>
  <si>
    <t xml:space="preserve">TẦN SUẤT</t>
  </si>
  <si>
    <t xml:space="preserve">MỨC TỐI THIỂU</t>
  </si>
  <si>
    <t xml:space="preserve">PHỐI HỢP</t>
  </si>
  <si>
    <t xml:space="preserve">NHÓM 1 – CHIẾN LƯỢC &amp; KẾ HOẠCH MEDIA</t>
  </si>
  <si>
    <t xml:space="preserve">1.1</t>
  </si>
  <si>
    <t xml:space="preserve">Lập media plan đa nền tảng gắn mục tiêu marketing/bán hàng: chọn kênh, phân bổ ngân sách, mục tiêu hiệu quả</t>
  </si>
  <si>
    <t xml:space="preserve">Media plan được TP/GĐ duyệt; 100% chiến dịch lớn có plan &amp; mục tiêu rõ</t>
  </si>
  <si>
    <t xml:space="preserve">Theo chiến dịch</t>
  </si>
  <si>
    <t xml:space="preserve">Media plan được duyệt</t>
  </si>
  <si>
    <t xml:space="preserve">TP/GĐ MKT · Sales</t>
  </si>
  <si>
    <t xml:space="preserve">1.2</t>
  </si>
  <si>
    <t xml:space="preserve">Xác định tệp khách hàng &amp; cách tiếp cận theo từng kênh/giai đoạn phễu (awareness→conversion)</t>
  </si>
  <si>
    <t xml:space="preserve">Tệp &amp; cấu trúc phễu rõ ràng theo mục tiêu; được duyệt</t>
  </si>
  <si>
    <t xml:space="preserve">Tệp &amp; phễu được duyệt</t>
  </si>
  <si>
    <t xml:space="preserve">TP/GĐ MKT · Content</t>
  </si>
  <si>
    <t xml:space="preserve">1.3</t>
  </si>
  <si>
    <t xml:space="preserve">Lập lịch &amp; phân bổ ngân sách theo thời điểm/sự kiện (ra mắt SP, mùa cao điểm, sàn)</t>
  </si>
  <si>
    <t xml:space="preserve">Ngân sách &amp; lịch phân bổ hợp lý; 0 cháy ngân sách bất hợp lý</t>
  </si>
  <si>
    <t xml:space="preserve">Hàng tháng</t>
  </si>
  <si>
    <t xml:space="preserve">Phân bổ ngân sách hợp lý</t>
  </si>
  <si>
    <t xml:space="preserve">TP/GĐ MKT · Kế toán</t>
  </si>
  <si>
    <t xml:space="preserve">NHÓM 2 – VẬN HÀNH QUẢNG CÁO &amp; PHÂN PHỐI ĐA NỀN TẢNG (Trực tiếp, hands-on)</t>
  </si>
  <si>
    <t xml:space="preserve">2.1</t>
  </si>
  <si>
    <t xml:space="preserve">Trực tiếp set up &amp; vận hành chiến dịch quảng cáo (Meta/Google/TikTok Ads...): cấu trúc campaign, targeting, đặt giá thầu</t>
  </si>
  <si>
    <t xml:space="preserve">Campaign set up đúng cấu trúc &amp; mục tiêu; 0 lỗi cấu hình lớn</t>
  </si>
  <si>
    <t xml:space="preserve">Hàng tuần</t>
  </si>
  <si>
    <t xml:space="preserve">Set up đúng &amp; 0 lỗi lớn</t>
  </si>
  <si>
    <t xml:space="preserve">Content · Sales</t>
  </si>
  <si>
    <t xml:space="preserve">2.2</t>
  </si>
  <si>
    <t xml:space="preserve">Testing creative/tệp/định dạng &amp; scaling chiến dịch hiệu quả; tắt chiến dịch kém</t>
  </si>
  <si>
    <t xml:space="preserve">Có testing &amp; scaling theo dữ liệu; nhân chiến dịch thắng</t>
  </si>
  <si>
    <t xml:space="preserve">Testing &amp; scaling theo dữ liệu</t>
  </si>
  <si>
    <t xml:space="preserve">Content · Performance</t>
  </si>
  <si>
    <t xml:space="preserve">2.3</t>
  </si>
  <si>
    <t xml:space="preserve">Phân phối nội dung &amp; truyền thông đa kênh (owned/earned); phối hợp KOL/KOC/booking, seeding khi có</t>
  </si>
  <si>
    <t xml:space="preserve">Nội dung phân phối đúng tệp &amp; đủ tần suất; booking đúng brief &amp; hiệu quả</t>
  </si>
  <si>
    <t xml:space="preserve">Phân phối đúng tệp</t>
  </si>
  <si>
    <t xml:space="preserve">Content · KOL/Đối tác</t>
  </si>
  <si>
    <t xml:space="preserve">NHÓM 3 – TỐI ƯU HIỆU QUẢ &amp; QUẢN TRỊ NGÂN SÁCH</t>
  </si>
  <si>
    <t xml:space="preserve">3.1</t>
  </si>
  <si>
    <t xml:space="preserve">Theo dõi &amp; tối ưu hiệu quả chiến dịch theo mục tiêu (ROAS/CPA/CPL/CPM/CTR); tối ưu liên tục</t>
  </si>
  <si>
    <t xml:space="preserve">Chỉ số hiệu quả đạt mục tiêu ≥ KH; tối ưu định kỳ</t>
  </si>
  <si>
    <t xml:space="preserve">Hàng ngày</t>
  </si>
  <si>
    <t xml:space="preserve">Hiệu quả ≥ KH</t>
  </si>
  <si>
    <t xml:space="preserve">Performance · Content</t>
  </si>
  <si>
    <t xml:space="preserve">3.2</t>
  </si>
  <si>
    <t xml:space="preserve">Quản trị ngân sách media: chi đúng kế hoạch, kiểm soát pacing, chống lãng phí &amp; cháy ngân sách</t>
  </si>
  <si>
    <t xml:space="preserve">Chi trong ngân sách ±5%; 0 lãng phí lớn; pacing ổn định</t>
  </si>
  <si>
    <t xml:space="preserve">Chi trong ngân sách</t>
  </si>
  <si>
    <t xml:space="preserve">Kế toán · TP/GĐ MKT</t>
  </si>
  <si>
    <t xml:space="preserve">3.3</t>
  </si>
  <si>
    <t xml:space="preserve">Phát hiện &amp; xử lý bất thường (chi phí tăng đột biến, hiệu quả tụt, gian lận click/bot)</t>
  </si>
  <si>
    <t xml:space="preserve">Bất thường được phát hiện &amp; xử lý ≤ 24h; 0 thất thoát lớn</t>
  </si>
  <si>
    <t xml:space="preserve">Xử lý ≤ 24h</t>
  </si>
  <si>
    <t xml:space="preserve">Performance · IT</t>
  </si>
  <si>
    <t xml:space="preserve">NHÓM 4 – LÃNH ĐẠO &amp; PHÁT TRIỂN NHÓM MEDIA</t>
  </si>
  <si>
    <t xml:space="preserve">4.1</t>
  </si>
  <si>
    <t xml:space="preserve">Giao việc, đặt KPI &amp; quản lý tiến độ nhóm media; review &amp; feedback nâng chất lượng vận hành</t>
  </si>
  <si>
    <t xml:space="preserve">100% NV có KPI &amp; nhịp review; 0 sự cố lớn do quản lý lỏng</t>
  </si>
  <si>
    <t xml:space="preserve">0 sự cố lớn do quản lý</t>
  </si>
  <si>
    <t xml:space="preserve">Nhóm · TP/GĐ MKT</t>
  </si>
  <si>
    <t xml:space="preserve">4.2</t>
  </si>
  <si>
    <t xml:space="preserve">Phát triển năng lực nhóm: media buying + tối ưu + đo lường + công cụ; lập IDP &amp; coaching</t>
  </si>
  <si>
    <t xml:space="preserve">100% NV có IDP; nâng năng lực media đo được</t>
  </si>
  <si>
    <t xml:space="preserve">IDP 100% nhóm</t>
  </si>
  <si>
    <t xml:space="preserve">GĐHR · TP/GĐ MKT</t>
  </si>
  <si>
    <t xml:space="preserve">4.3</t>
  </si>
  <si>
    <t xml:space="preserve">Xây kỷ luật dữ liệu &amp; tối ưu; giữ người giỏi; chuẩn hóa quy trình vận hành media</t>
  </si>
  <si>
    <t xml:space="preserve">eNPS nhóm ≥ 35; turnover ≤ ngưỡng; quy trình vận hành chuẩn</t>
  </si>
  <si>
    <t xml:space="preserve">Hàng quý</t>
  </si>
  <si>
    <t xml:space="preserve">eNPS ≥ 35</t>
  </si>
  <si>
    <t xml:space="preserve">GĐHR</t>
  </si>
  <si>
    <t xml:space="preserve">NHÓM 5 – ĐO LƯỜNG, TRACKING &amp; BÁO CÁO DỮ LIỆU</t>
  </si>
  <si>
    <t xml:space="preserve">5.1</t>
  </si>
  <si>
    <t xml:space="preserve">Thiết lập &amp; kiểm soát tracking (pixel/Conversion API, UTM, sự kiện chuyển đổi); đảm bảo dữ liệu sạch</t>
  </si>
  <si>
    <t xml:space="preserve">Tracking đầy đủ &amp; chính xác; số liệu media khớp thực tế</t>
  </si>
  <si>
    <t xml:space="preserve">Tracking chính xác</t>
  </si>
  <si>
    <t xml:space="preserve">IT · Performance</t>
  </si>
  <si>
    <t xml:space="preserve">5.2</t>
  </si>
  <si>
    <t xml:space="preserve">Báo cáo hiệu quả media cho TP/GĐ MKT: ROAS/CPA theo kênh/chiến dịch, ngân sách, insight &amp; đề xuất</t>
  </si>
  <si>
    <t xml:space="preserve">100% kỳ báo cáo đúng hạn; số liệu khớp; có phân tích &amp; action</t>
  </si>
  <si>
    <t xml:space="preserve">Hàng tuần/tháng</t>
  </si>
  <si>
    <t xml:space="preserve">0 báo cáo trễ</t>
  </si>
  <si>
    <t xml:space="preserve">NHÓM 6 – PHỐI HỢP, TUÂN THỦ &amp; QUẢN TRỊ RỦI RO</t>
  </si>
  <si>
    <t xml:space="preserve">6.1</t>
  </si>
  <si>
    <t xml:space="preserve">Phối hợp Content/Sales/Sản phẩm/sàn TMĐT để media phục vụ mục tiêu kinh doanh &amp; nội dung phù hợp kênh</t>
  </si>
  <si>
    <t xml:space="preserve">0 chiến dịch trễ vì phối hợp; nội dung-media gắn mục tiêu</t>
  </si>
  <si>
    <t xml:space="preserve">0 trễ vì phối hợp</t>
  </si>
  <si>
    <t xml:space="preserve">Content · Sales · Sản phẩm</t>
  </si>
  <si>
    <t xml:space="preserve">6.2</t>
  </si>
  <si>
    <t xml:space="preserve">Tuân thủ chính sách nền tảng quảng cáo &amp; quy định pháp lý (quảng cáo, dữ liệu); brand-safe</t>
  </si>
  <si>
    <t xml:space="preserve">0 tài khoản bị khóa/vi phạm chính sách do lỗi; 0 quảng cáo sai quy định</t>
  </si>
  <si>
    <t xml:space="preserve">0 vi phạm chính sách</t>
  </si>
  <si>
    <t xml:space="preserve">TP/GĐ MKT · Pháp chế</t>
  </si>
  <si>
    <t xml:space="preserve">6.3</t>
  </si>
  <si>
    <t xml:space="preserve">Quản trị rủi ro media: phụ thuộc 1 kênh, biến động chi phí/chính sách nền tảng, gian lận, an toàn tài khoản</t>
  </si>
  <si>
    <t xml:space="preserve">Risk review ≥ 1 lần/quý; có dự phòng kênh; bảo mật tài khoản quảng cáo</t>
  </si>
  <si>
    <t xml:space="preserve">Risk review/quý</t>
  </si>
  <si>
    <t xml:space="preserve">TP/GĐ MKT · IT</t>
  </si>
  <si>
    <t xml:space="preserve">▌ IV. CHỈ TIÊU KPI SỐNG CÒN – TN Media</t>
  </si>
  <si>
    <t xml:space="preserve">CHỈ TIÊU KPI</t>
  </si>
  <si>
    <t xml:space="preserve">TRỌNG SỐ</t>
  </si>
  <si>
    <t xml:space="preserve">TIÊU CHUẨN ĐẠT</t>
  </si>
  <si>
    <t xml:space="preserve">TIÊU CHUẨN XUẤT SẮC</t>
  </si>
  <si>
    <t xml:space="preserve">NGUỒN DỮ LIỆU</t>
  </si>
  <si>
    <t xml:space="preserve">1</t>
  </si>
  <si>
    <t xml:space="preserve">Hiệu quả Media (ROAS/CPA/CPL vs mục tiêu)</t>
  </si>
  <si>
    <t xml:space="preserve">22%</t>
  </si>
  <si>
    <t xml:space="preserve">Đạt mục tiêu ROAS/CPA ≥ KH</t>
  </si>
  <si>
    <t xml:space="preserve">Vượt mục tiêu · scaling hiệu quả</t>
  </si>
  <si>
    <t xml:space="preserve">Nền tảng Ads / tracking</t>
  </si>
  <si>
    <t xml:space="preserve">2</t>
  </si>
  <si>
    <t xml:space="preserve">Phân phối &amp; Độ phủ chiến dịch (đúng tệp)</t>
  </si>
  <si>
    <t xml:space="preserve">18%</t>
  </si>
  <si>
    <t xml:space="preserve">Reach/độ phủ ≥ KH · đúng tệp &amp; tần suất</t>
  </si>
  <si>
    <t xml:space="preserve">Phủ tối ưu · đúng tệp cao</t>
  </si>
  <si>
    <t xml:space="preserve">Nền tảng Ads / báo cáo</t>
  </si>
  <si>
    <t xml:space="preserve">3</t>
  </si>
  <si>
    <t xml:space="preserve">Quản trị Ngân sách Media</t>
  </si>
  <si>
    <t xml:space="preserve">15%</t>
  </si>
  <si>
    <t xml:space="preserve">Chi trong ngân sách ±5% · 0 lãng phí lớn</t>
  </si>
  <si>
    <t xml:space="preserve">Tối ưu chi phí · pacing chuẩn</t>
  </si>
  <si>
    <t xml:space="preserve">P&amp;L media / Kế toán</t>
  </si>
  <si>
    <t xml:space="preserve">4</t>
  </si>
  <si>
    <t xml:space="preserve">Tiến độ &amp; Vận hành chiến dịch</t>
  </si>
  <si>
    <t xml:space="preserve">13%</t>
  </si>
  <si>
    <t xml:space="preserve">Set up đúng &amp; đúng hạn · 0 sự cố lớn</t>
  </si>
  <si>
    <t xml:space="preserve">Vận hành mượt · 0 lỗi cấu hình</t>
  </si>
  <si>
    <t xml:space="preserve">Lịch chiến dịch</t>
  </si>
  <si>
    <t xml:space="preserve">5</t>
  </si>
  <si>
    <t xml:space="preserve">Phát triển &amp; Hiệu suất nhóm</t>
  </si>
  <si>
    <t xml:space="preserve">20%</t>
  </si>
  <si>
    <t xml:space="preserve">100% có IDP · KPI nhóm đạt · eNPS ≥ 35</t>
  </si>
  <si>
    <t xml:space="preserve">Nhóm giỏi &amp; ≥ 1 kế thừa</t>
  </si>
  <si>
    <t xml:space="preserve">Đánh giá HR</t>
  </si>
  <si>
    <t xml:space="preserve">6</t>
  </si>
  <si>
    <t xml:space="preserve">Đo lường, Tracking &amp; Báo cáo</t>
  </si>
  <si>
    <t xml:space="preserve">12%</t>
  </si>
  <si>
    <t xml:space="preserve">Tracking chính xác · báo cáo đúng hạn</t>
  </si>
  <si>
    <t xml:space="preserve">Dashboard chuẩn · dữ liệu đáng tin</t>
  </si>
  <si>
    <t xml:space="preserve">Tracking / báo cáo</t>
  </si>
  <si>
    <t xml:space="preserve">▌ V. YÊU CẦU CÔNG VIỆC</t>
  </si>
  <si>
    <t xml:space="preserve">NĂNG LỰC &amp; KỸ NĂNG CẦN CÓ</t>
  </si>
  <si>
    <t xml:space="preserve">KINH NGHIỆM &amp; HỌC VẤN</t>
  </si>
  <si>
    <t xml:space="preserve">✅  Lập media plan &amp; phân bổ ngân sách đa nền tảng theo mục tiêu &amp; phễu</t>
  </si>
  <si>
    <t xml:space="preserve">⏱  Tối thiểu 3–4 năm digital media/performance; ≥ 1 năm dẫn dắt nhóm hoặc dự án</t>
  </si>
  <si>
    <t xml:space="preserve">✅  Vận hành quảng cáo thành thạo (Meta/Google/TikTok Ads...): cấu trúc, targeting, bidding, scaling</t>
  </si>
  <si>
    <t xml:space="preserve">🎓  Đại học/Cao đẳng: Marketing/Kinh tế/Truyền thông hoặc tương đương</t>
  </si>
  <si>
    <t xml:space="preserve">✅  Tối ưu hiệu quả (ROAS/CPA/CPL) &amp; kiểm soát ngân sách/pacing</t>
  </si>
  <si>
    <t xml:space="preserve">📊  Tư duy số liệu mạnh: đọc &amp; ra quyết định từ dữ liệu chiến dịch</t>
  </si>
  <si>
    <t xml:space="preserve">✅  Thiết lập tracking (pixel/Conversion API, UTM, sự kiện chuyển đổi) &amp; đọc attribution</t>
  </si>
  <si>
    <t xml:space="preserve">💻  Thành thạo trình quản lý quảng cáo, GA4/looker, Excel; biết dùng AI hỗ trợ là lợi thế</t>
  </si>
  <si>
    <t xml:space="preserve">✅  Phân phối nội dung &amp; phối hợp KOL/KOC/booking; quản trị kênh phân phối</t>
  </si>
  <si>
    <t xml:space="preserve">🤝  Hiểu phối hợp Content–Media–Sales để tối đa hiệu quả</t>
  </si>
  <si>
    <t xml:space="preserve">✅  Quản lý nhóm: giao việc, review, coaching, phát triển media buyer</t>
  </si>
  <si>
    <t xml:space="preserve">🛡️  Nắm chính sách nền tảng quảng cáo &amp; quy định pháp lý/brand-safe</t>
  </si>
  <si>
    <t xml:space="preserve">✅  Quản trị rủi ro (an toàn tài khoản, gian lận, biến động chính sách)</t>
  </si>
  <si>
    <t xml:space="preserve">⚡  Data-driven, kỷ luật ngân sách, hands-on (tự chạy được), chịu áp lực KPI</t>
  </si>
  <si>
    <t xml:space="preserve">▌ VI. NĂNG LỰC CẦN CÓ (Theo Khung Năng Lực Hùng Phát)</t>
  </si>
  <si>
    <t xml:space="preserve">Mức cấp tối thiểu khi nhận vị trí: Cấp 3 cho cả 6 nhóm | BẮT BUỘC: tự vận hành &amp; tối ưu quảng cáo được (N2/N3) — không chỉ quản lý lý thuyết</t>
  </si>
  <si>
    <t xml:space="preserve">NHÓM NL</t>
  </si>
  <si>
    <t xml:space="preserve">TÊN NHÓM NĂNG LỰC</t>
  </si>
  <si>
    <t xml:space="preserve">CẤP TỐI THIỂU</t>
  </si>
  <si>
    <t xml:space="preserve">MÔ TẢ CẤP 3 – ĐẠT YÊU CẦU ✅</t>
  </si>
  <si>
    <t xml:space="preserve">CẤP MỤC TIÊU SAU 1 NĂM</t>
  </si>
  <si>
    <t xml:space="preserve">N1</t>
  </si>
  <si>
    <t xml:space="preserve">Chiến lược &amp; Kế hoạch Media</t>
  </si>
  <si>
    <t xml:space="preserve">Cấp 3</t>
  </si>
  <si>
    <t xml:space="preserve">Lập media plan đa nền tảng gắn mục tiêu &amp; phễu, chọn kênh &amp; phân bổ ngân sách hợp lý.</t>
  </si>
  <si>
    <t xml:space="preserve">Cấp 4</t>
  </si>
  <si>
    <t xml:space="preserve">N2</t>
  </si>
  <si>
    <t xml:space="preserve">Vận hành Quảng cáo &amp; Phân phối đa nền tảng (hands-on)</t>
  </si>
  <si>
    <t xml:space="preserve">25%</t>
  </si>
  <si>
    <t xml:space="preserve">Trực tiếp set up &amp; vận hành ads (Meta/Google/TikTok), testing/scaling, phân phối nội dung &amp; booking đúng tệp.</t>
  </si>
  <si>
    <t xml:space="preserve">N3</t>
  </si>
  <si>
    <t xml:space="preserve">Tối ưu Hiệu quả &amp; Quản trị Ngân sách</t>
  </si>
  <si>
    <t xml:space="preserve">Tối ưu ROAS/CPA/CPL, kiểm soát ngân sách &amp; pacing, xử lý bất thường, chống lãng phí.</t>
  </si>
  <si>
    <t xml:space="preserve">N4</t>
  </si>
  <si>
    <t xml:space="preserve">Lãnh đạo &amp; Phát triển Nhóm Media</t>
  </si>
  <si>
    <t xml:space="preserve">Giao việc &amp; KPI, review, IDP &amp; coaching media buyer; chuẩn hóa quy trình vận hành; giữ người giỏi.</t>
  </si>
  <si>
    <t xml:space="preserve">N5</t>
  </si>
  <si>
    <t xml:space="preserve">Đo lường, Tracking &amp; Báo cáo Dữ liệu</t>
  </si>
  <si>
    <t xml:space="preserve">Thiết lập &amp; kiểm soát tracking (pixel/CAPI/UTM), đọc attribution, báo cáo hiệu quả đúng hạn &amp; sạch.</t>
  </si>
  <si>
    <t xml:space="preserve">N6</t>
  </si>
  <si>
    <t xml:space="preserve">Tư duy &amp; Thái độ (Data-driven, Kỷ luật ngân sách, Brand-safe)</t>
  </si>
  <si>
    <t xml:space="preserve">5%</t>
  </si>
  <si>
    <t xml:space="preserve">Ra quyết định bằng dữ liệu; kỷ luật ngân sách &amp; tuân thủ chính sách nền tảng/brand; action ≤ 48h khi miss KPI.</t>
  </si>
  <si>
    <t xml:space="preserve">▌ VII. QUYỀN HẠN &amp; GIỚI HẠN THẨM QUYỀN</t>
  </si>
  <si>
    <t xml:space="preserve">Cột XANH ✅ = tự quyết, chịu trách nhiệm toàn bộ kết quả.   Cột CAM ⚠️ = PHẢI BÁO CÁO hoặc XIN PHÊ DUYỆT trước khi hành động — vi phạm = vi phạm kỷ luật.</t>
  </si>
  <si>
    <t xml:space="preserve">✅  ĐƯỢC PHÉP TỰ QUYẾT ĐỊNH</t>
  </si>
  <si>
    <t xml:space="preserve">⚠️  PHẢI BÁO CÁO / XIN PHÊ DUYỆT TRƯỚC</t>
  </si>
  <si>
    <t xml:space="preserve">THẨM QUYỀN PHÊ DUYỆT</t>
  </si>
  <si>
    <t xml:space="preserve">CHIẾN DỊCH &amp; VẬN HÀNH QUẢNG CÁO</t>
  </si>
  <si>
    <t xml:space="preserve">✅  Set up, điều chỉnh &amp; tối ưu chiến dịch trong media plan &amp; ngân sách đã duyệt</t>
  </si>
  <si>
    <t xml:space="preserve">⚠️  Media plan/chiến dịch lớn; thay đổi mục tiêu hoặc cấu trúc chiến lược media</t>
  </si>
  <si>
    <t xml:space="preserve">TP/GĐ Marketing</t>
  </si>
  <si>
    <t xml:space="preserve">✅  Phân bổ &amp; điều chuyển ngân sách giữa các chiến dịch/kênh trong tổng ngân sách &amp; ngưỡng được giao</t>
  </si>
  <si>
    <t xml:space="preserve">⚠️  Tăng tổng ngân sách media; chi vượt ngưỡng; cam kết hợp đồng quảng cáo lớn</t>
  </si>
  <si>
    <t xml:space="preserve">TP/GĐ MKT + Kế toán</t>
  </si>
  <si>
    <t xml:space="preserve">PHÂN PHỐI, KOL &amp; ĐỐI TÁC</t>
  </si>
  <si>
    <t xml:space="preserve">✅  Quyết định cách phân phối nội dung &amp; lịch đẩy trên kênh trong kế hoạch đã duyệt</t>
  </si>
  <si>
    <t xml:space="preserve">⚠️  Booking KOL/KOC/đối tác lớn; hợp đồng truyền thông; cam kết ngoài ngân sách</t>
  </si>
  <si>
    <t xml:space="preserve">TP/GĐ MKT</t>
  </si>
  <si>
    <t xml:space="preserve">✅  Đề xuất &amp; phối hợp KOL/KOC/seeding trong danh sách &amp; ngân sách được duyệt</t>
  </si>
  <si>
    <t xml:space="preserve">⚠️  Chọn đối tác/nền tảng mới ngoài danh mục; nội dung quảng cáo nhạy cảm</t>
  </si>
  <si>
    <t xml:space="preserve">NHÂN SỰ, TÀI KHOẢN &amp; RỦI RO</t>
  </si>
  <si>
    <t xml:space="preserve">✅  Phân công, đánh giá &amp; coaching nhóm media; điều phối vận hành chiến dịch</t>
  </si>
  <si>
    <t xml:space="preserve">⚠️  Tuyển/cho nghỉ NV; kỷ luật từ cảnh cáo; thay đổi headcount</t>
  </si>
  <si>
    <t xml:space="preserve">TP/GĐ MKT + GĐHR</t>
  </si>
  <si>
    <t xml:space="preserve">✅  Quản trị &amp; bảo mật tài khoản quảng cáo trong phạm vi được giao</t>
  </si>
  <si>
    <t xml:space="preserve">⚠️  Cấp/thu quyền truy cập tài khoản quảng cáo; xử lý vi phạm chính sách nền tảng lớn</t>
  </si>
  <si>
    <t xml:space="preserve">TP/GĐ MKT + IT</t>
  </si>
  <si>
    <t xml:space="preserve">▌ VIII. LỘ TRÌNH PHÁT TRIỂN</t>
  </si>
  <si>
    <t xml:space="preserve">GIAI ĐOẠN</t>
  </si>
  <si>
    <t xml:space="preserve">VỊ TRÍ TIẾP THEO</t>
  </si>
  <si>
    <t xml:space="preserve">ĐIỀU KIỆN THĂNG TIẾN</t>
  </si>
  <si>
    <t xml:space="preserve">KPI CHỨNG MINH</t>
  </si>
  <si>
    <t xml:space="preserve">NGƯỜI PHÊ DUYỆT</t>
  </si>
  <si>
    <t xml:space="preserve">THỜI GIAN</t>
  </si>
  <si>
    <t xml:space="preserve">Hiện tại</t>
  </si>
  <si>
    <t xml:space="preserve">Trưởng nhóm Media (Truyền thông &amp; Quảng cáo)</t>
  </si>
  <si>
    <t xml:space="preserve">Đang đảm nhận vị trí</t>
  </si>
  <si>
    <t xml:space="preserve">Hiệu quả media (ROAS/CPA) ≥ KH; chi trong ngân sách; 100% nhóm có IDP; tracking chính xác</t>
  </si>
  <si>
    <t xml:space="preserve">Đang triển khai</t>
  </si>
  <si>
    <t xml:space="preserve">12–24 tháng</t>
  </si>
  <si>
    <t xml:space="preserve">Media Lead cấp cao / Performance Marketing Lead</t>
  </si>
  <si>
    <t xml:space="preserve">Hiệu quả ≥ 110% KH 2 năm; chuẩn hóa quy trình &amp; scaling; nhóm có kế thừa</t>
  </si>
  <si>
    <t xml:space="preserve">ROAS +15% YoY; eNPS ≥ 40</t>
  </si>
  <si>
    <t xml:space="preserve">18–24 tháng</t>
  </si>
  <si>
    <t xml:space="preserve">24–36 tháng</t>
  </si>
  <si>
    <t xml:space="preserve">Phụ trách Media / Quản lý Performance Marketing</t>
  </si>
  <si>
    <t xml:space="preserve">Dẫn dắt toàn mảng media-performance đa kênh; chiến lược media; tổ chức vững</t>
  </si>
  <si>
    <t xml:space="preserve">Kết quả mảng bền vững; succession đầy đủ</t>
  </si>
  <si>
    <t xml:space="preserve">GĐ MKT</t>
  </si>
  <si>
    <t xml:space="preserve">2–3 năm</t>
  </si>
  <si>
    <t xml:space="preserve">36 tháng+</t>
  </si>
  <si>
    <t xml:space="preserve">Trưởng phòng Marketing / Growth</t>
  </si>
  <si>
    <t xml:space="preserve">Quản trị marketing/growth cấp công ty; chiến lược tăng trưởng đa kênh</t>
  </si>
  <si>
    <t xml:space="preserve">Năng lực quản trị tổng thể; kết quả khối</t>
  </si>
  <si>
    <t xml:space="preserve">GĐĐH</t>
  </si>
  <si>
    <t xml:space="preserve">3+ năm</t>
  </si>
  <si>
    <t xml:space="preserve">▌ IX. XÁC NHẬN &amp; HIỆU LỰC</t>
  </si>
  <si>
    <t xml:space="preserve">Tài liệu nội bộ – CTCP Hùng Phát  |  Không phổ biến ra ngoài  |  Lưu trữ tại HR &amp; TN Media</t>
  </si>
  <si>
    <t xml:space="preserve">NGƯỜI ĐƯỢC BỔ NHIỆM (Đọc, hiểu &amp; cam kết)</t>
  </si>
  <si>
    <t xml:space="preserve">GĐHR XÁC NHẬN (Đúng khung NL &amp; quy trình)</t>
  </si>
  <si>
    <t xml:space="preserve">TP / GĐ Marketing PHÊ DUYỆT (Ký &amp; đóng dấu)</t>
  </si>
  <si>
    <t xml:space="preserve">Họ tên: ____________________
Chức danh: Trưởng nhóm Media (Truyền thông &amp; Quảng cáo)
Ngày ký: ___/___/______</t>
  </si>
  <si>
    <t xml:space="preserve">Họ tên: ____________________
Chức danh: Giám đốc HR
Ngày ký: ___/___/______</t>
  </si>
  <si>
    <t xml:space="preserve">Họ tên: ____________________
Chức danh: TP / GĐ Marketing
Ngày ký: ___/___/______</t>
  </si>
  <si>
    <t xml:space="preserve">Ngày hiệu lực của JD này: ___/___/______    |    Kỳ review tiếp theo: ___/___/______    |    Người lưu trữ: GĐHR</t>
  </si>
  <si>
    <t xml:space="preserve">KHUNG NĂNG LỰC – TRƯỞNG NHÓM MEDIA (TRUYỀN THÔNG &amp; QUẢNG CÁO)</t>
  </si>
  <si>
    <t xml:space="preserve">CTCP Hùng Phát | 6 Nhóm NL | Trọng số theo vị trí | Thang 4 cấp</t>
  </si>
  <si>
    <t xml:space="preserve">▌ THANG 4 CẤP &amp; TRỌNG SỐ</t>
  </si>
  <si>
    <t xml:space="preserve">NHÓM NĂNG LỰC</t>
  </si>
  <si>
    <t xml:space="preserve">MỤC TIÊU 6 THÁNG</t>
  </si>
  <si>
    <t xml:space="preserve">MỤC TIÊU 1 NĂM</t>
  </si>
  <si>
    <t xml:space="preserve">Cấp 3-4</t>
  </si>
  <si>
    <t xml:space="preserve">TỔNG</t>
  </si>
  <si>
    <t xml:space="preserve">100%</t>
  </si>
  <si>
    <t xml:space="preserve">Điểm ≥ 3.0 để đạt</t>
  </si>
  <si>
    <t xml:space="preserve">Điểm ≥ 3.3 sau 6T</t>
  </si>
  <si>
    <t xml:space="preserve">Điểm ≥ 3.5 sau 1 năm</t>
  </si>
  <si>
    <t xml:space="preserve">▌ MÔ TẢ HÀNH VI 4 CẤP THEO NHÓM NĂNG LỰC</t>
  </si>
  <si>
    <t xml:space="preserve">TIÊU CHÍ</t>
  </si>
  <si>
    <t xml:space="preserve">CẤP 1 – Cần phát triển ❌</t>
  </si>
  <si>
    <t xml:space="preserve">CẤP 2 – Đang phát triển ⚠️</t>
  </si>
  <si>
    <t xml:space="preserve">CẤP 3 – Đạt yêu cầu ✅</t>
  </si>
  <si>
    <t xml:space="preserve">CẤP 4 – Xuất sắc ⭐</t>
  </si>
  <si>
    <t xml:space="preserve">NHÓM N1 – CHIẾN LƯỢC &amp; KẾ HOẠCH MEDIA (20%)</t>
  </si>
  <si>
    <t xml:space="preserve">Lập media plan &amp; chọn kênh</t>
  </si>
  <si>
    <t xml:space="preserve">Chạy quảng cáo không kế hoạch; chọn kênh cảm tính.</t>
  </si>
  <si>
    <t xml:space="preserve">Có plan nhưng chưa gắn mục tiêu/phễu rõ; phân bổ chưa tối ưu.</t>
  </si>
  <si>
    <t xml:space="preserve">Lập media plan đa nền tảng gắn mục tiêu &amp; phễu; chọn kênh &amp; phân bổ ngân sách hợp lý; được duyệt.</t>
  </si>
  <si>
    <t xml:space="preserve">Plan dẫn dắt tăng trưởng; tối ưu mix kênh theo dữ liệu &amp; mục tiêu.</t>
  </si>
  <si>
    <t xml:space="preserve">Xác định tệp &amp; cấu trúc phễu</t>
  </si>
  <si>
    <t xml:space="preserve">Không rõ tệp; nhắm chung chung; phễu rời rạc.</t>
  </si>
  <si>
    <t xml:space="preserve">Có tệp nhưng chưa khớp giai đoạn phễu.</t>
  </si>
  <si>
    <t xml:space="preserve">Xác định tệp &amp; cấu trúc phễu (awareness→conversion) rõ theo mục tiêu.</t>
  </si>
  <si>
    <t xml:space="preserve">Tệp &amp; phễu sắc bén; cá nhân hóa thông điệp theo từng tầng phễu.</t>
  </si>
  <si>
    <t xml:space="preserve">Phân bổ ngân sách &amp; lịch</t>
  </si>
  <si>
    <t xml:space="preserve">Chi dàn trải/cảm tính; cháy ngân sách bất hợp lý.</t>
  </si>
  <si>
    <t xml:space="preserve">Phân bổ được nhưng chưa theo thời điểm/hiệu quả.</t>
  </si>
  <si>
    <t xml:space="preserve">Phân bổ ngân sách &amp; lịch theo thời điểm/sự kiện hợp lý; 0 cháy bất hợp lý.</t>
  </si>
  <si>
    <t xml:space="preserve">Tối ưu phân bổ theo ROI thời điểm; chủ động dồn lực vào cơ hội.</t>
  </si>
  <si>
    <t xml:space="preserve">NHÓM N2 – VẬN HÀNH QUẢNG CÁO &amp; PHÂN PHỐI ĐA NỀN TẢNG (HANDS-ON) (25%)</t>
  </si>
  <si>
    <t xml:space="preserve">Set up &amp; vận hành chiến dịch</t>
  </si>
  <si>
    <t xml:space="preserve">Không tự set up được; lỗi cấu hình; phụ thuộc người khác.</t>
  </si>
  <si>
    <t xml:space="preserve">Set up được nhưng còn sai sót; chưa tối ưu cấu trúc.</t>
  </si>
  <si>
    <t xml:space="preserve">Tự set up đúng cấu trúc/targeting/bidding trên Meta/Google/TikTok; 0 lỗi lớn.</t>
  </si>
  <si>
    <t xml:space="preserve">Vận hành thuần thục đa nền tảng; cấu trúc tối ưu cho scaling.</t>
  </si>
  <si>
    <t xml:space="preserve">Testing &amp; scaling</t>
  </si>
  <si>
    <t xml:space="preserve">Không test; giữ chiến dịch kém; không scale chiến dịch tốt.</t>
  </si>
  <si>
    <t xml:space="preserve">Có test nhưng không hệ thống; scaling rủi ro.</t>
  </si>
  <si>
    <t xml:space="preserve">Testing creative/tệp/định dạng theo dữ liệu; scaling chiến dịch thắng, tắt chiến dịch kém.</t>
  </si>
  <si>
    <t xml:space="preserve">Quy trình test-scale bài bản; nhân hiệu quả ổn định, kiểm soát rủi ro.</t>
  </si>
  <si>
    <t xml:space="preserve">Phân phối &amp; KOL/booking</t>
  </si>
  <si>
    <t xml:space="preserve">Phân phối lệch tệp; booking cảm tính/không đo.</t>
  </si>
  <si>
    <t xml:space="preserve">Phân phối ổn nhưng chưa tối ưu tần suất; KOL chưa đo hiệu quả.</t>
  </si>
  <si>
    <t xml:space="preserve">Phân phối đúng tệp &amp; đủ tần suất; KOL/KOC/booking đúng brief &amp; có đo hiệu quả.</t>
  </si>
  <si>
    <t xml:space="preserve">Tối ưu mix phân phối &amp; KOL theo ROI; tạo cộng hưởng owned-paid-earned.</t>
  </si>
  <si>
    <t xml:space="preserve">NHÓM N3 – TỐI ƯU HIỆU QUẢ &amp; QUẢN TRỊ NGÂN SÁCH (18%)</t>
  </si>
  <si>
    <t xml:space="preserve">Tối ưu hiệu quả (ROAS/CPA)</t>
  </si>
  <si>
    <t xml:space="preserve">Không tối ưu; để chỉ số xấu kéo dài.</t>
  </si>
  <si>
    <t xml:space="preserve">Tối ưu thụ động/chậm; thiếu phương pháp.</t>
  </si>
  <si>
    <t xml:space="preserve">Theo dõi &amp; tối ưu ROAS/CPA/CPL liên tục; đạt mục tiêu ≥ KH.</t>
  </si>
  <si>
    <t xml:space="preserve">Tối ưu sâu theo tệp/creative/thời điểm; vượt mục tiêu bền vững.</t>
  </si>
  <si>
    <t xml:space="preserve">Quản trị ngân sách &amp; pacing</t>
  </si>
  <si>
    <t xml:space="preserve">Chi vượt/cạn ngân sách; pacing loạn.</t>
  </si>
  <si>
    <t xml:space="preserve">Kiểm soát cơ bản; đôi khi lệch pacing.</t>
  </si>
  <si>
    <t xml:space="preserve">Chi trong ngân sách ±5%; pacing ổn định; 0 lãng phí lớn.</t>
  </si>
  <si>
    <t xml:space="preserve">Tối ưu hiệu quả/đồng chi; phân bổ động theo hiệu suất realtime.</t>
  </si>
  <si>
    <t xml:space="preserve">Phát hiện &amp; xử lý bất thường</t>
  </si>
  <si>
    <t xml:space="preserve">Không nhận ra bất thường; thất thoát kéo dài.</t>
  </si>
  <si>
    <t xml:space="preserve">Phát hiện chậm; xử lý chưa dứt điểm.</t>
  </si>
  <si>
    <t xml:space="preserve">Phát hiện &amp; xử lý bất thường (chi phí/hiệu quả/gian lận) ≤ 24h.</t>
  </si>
  <si>
    <t xml:space="preserve">Cảnh báo sớm &amp; phòng ngừa chủ động; bảo vệ ngân sách hiệu quả.</t>
  </si>
  <si>
    <t xml:space="preserve">NHÓM N4 – LÃNH ĐẠO &amp; PHÁT TRIỂN NHÓM MEDIA (20%)</t>
  </si>
  <si>
    <t xml:space="preserve">Giao việc &amp; quản lý tiến độ</t>
  </si>
  <si>
    <t xml:space="preserve">Giao việc không rõ; sự cố vì quản lý lỏng.</t>
  </si>
  <si>
    <t xml:space="preserve">Giao việc rõ nhưng theo dõi chưa sát.</t>
  </si>
  <si>
    <t xml:space="preserve">100% NV có KPI &amp; nhịp review; 0 sự cố lớn do quản lý.</t>
  </si>
  <si>
    <t xml:space="preserve">Vận hành nhóm như cỗ máy media; nhiều chiến dịch song song trơn tru.</t>
  </si>
  <si>
    <t xml:space="preserve">Phát triển năng lực nhóm</t>
  </si>
  <si>
    <t xml:space="preserve">Không phát triển NV; ai biết gì làm nấy.</t>
  </si>
  <si>
    <t xml:space="preserve">Phát triển tự phát; thiếu IDP &amp; coaching.</t>
  </si>
  <si>
    <t xml:space="preserve">100% NV có IDP; coaching đều; nâng năng lực media đo được.</t>
  </si>
  <si>
    <t xml:space="preserve">Nhóm giỏi &amp; đa năng; ≥ 1 người kế thừa; là 'lò' đào tạo media.</t>
  </si>
  <si>
    <t xml:space="preserve">Kỷ luật, quy trình &amp; giữ người</t>
  </si>
  <si>
    <t xml:space="preserve">Quy trình lộn xộn; turnover cao.</t>
  </si>
  <si>
    <t xml:space="preserve">Có quy trình nhưng chưa nhất quán.</t>
  </si>
  <si>
    <t xml:space="preserve">Quy trình vận hành chuẩn; kỷ luật dữ liệu; eNPS ≥ 35.</t>
  </si>
  <si>
    <t xml:space="preserve">Văn hóa data-driven &amp; học hỏi; thu hút &amp; giữ người giỏi.</t>
  </si>
  <si>
    <t xml:space="preserve">NHÓM N5 – ĐO LƯỜNG, TRACKING &amp; BÁO CÁO DỮ LIỆU (12%)</t>
  </si>
  <si>
    <t xml:space="preserve">Tracking &amp; dữ liệu sạch</t>
  </si>
  <si>
    <t xml:space="preserve">Không/sai tracking; số liệu không tin được.</t>
  </si>
  <si>
    <t xml:space="preserve">Tracking cơ bản nhưng thiếu/sai sót.</t>
  </si>
  <si>
    <t xml:space="preserve">Thiết lập &amp; kiểm soát tracking (pixel/CAPI/UTM); số liệu khớp thực tế.</t>
  </si>
  <si>
    <t xml:space="preserve">Hệ thống đo lường chuẩn; attribution rõ; dữ liệu phục vụ ra quyết định.</t>
  </si>
  <si>
    <t xml:space="preserve">Báo cáo &amp; insight</t>
  </si>
  <si>
    <t xml:space="preserve">Báo cáo trễ/thiếu; không có insight.</t>
  </si>
  <si>
    <t xml:space="preserve">Báo cáo đủ nhưng phân tích nông.</t>
  </si>
  <si>
    <t xml:space="preserve">Báo cáo hiệu quả đúng hạn theo kênh/chiến dịch; có insight &amp; action.</t>
  </si>
  <si>
    <t xml:space="preserve">Báo cáo dẫn dắt quyết định; dự báo &amp; đề xuất chiến lược media.</t>
  </si>
  <si>
    <t xml:space="preserve">NHÓM N6 – TƯ DUY &amp; THÁI ĐỘ (DATA-DRIVEN, KỶ LUẬT NGÂN SÁCH, BRAND-SAFE) (5%)</t>
  </si>
  <si>
    <t xml:space="preserve">Data-driven &amp; kỷ luật ngân sách</t>
  </si>
  <si>
    <t xml:space="preserve">Quyết định cảm tính; tiêu ngân sách tùy hứng.</t>
  </si>
  <si>
    <t xml:space="preserve">Dùng dữ liệu cơ bản; kỷ luật ngân sách chưa cao.</t>
  </si>
  <si>
    <t xml:space="preserve">Ra quyết định bằng dữ liệu; kỷ luật ngân sách; miss KPI có action ≤ 48h.</t>
  </si>
  <si>
    <t xml:space="preserve">Chuẩn mực data-driven &amp; kỷ luật; tối ưu từng đồng ngân sách.</t>
  </si>
  <si>
    <t xml:space="preserve">Tuân thủ chính sách &amp; brand-safe</t>
  </si>
  <si>
    <t xml:space="preserve">Coi nhẹ chính sách nền tảng/brand; gây rủi ro khóa tài khoản.</t>
  </si>
  <si>
    <t xml:space="preserve">Cơ bản tuân thủ nhưng đôi lúc lơ là.</t>
  </si>
  <si>
    <t xml:space="preserve">Tuân thủ chính sách nền tảng &amp; pháp lý; brand-safe; bảo mật tài khoản.</t>
  </si>
  <si>
    <t xml:space="preserve">Chủ động phòng rủi ro chính sách &amp; bảo vệ thương hiệu cho cả nhóm.</t>
  </si>
  <si>
    <t xml:space="preserve">PHIẾU ĐÁNH GIÁ NĂNG LỰC – TRƯỞNG NHÓM MEDIA (TRUYỀN THÔNG &amp; QUẢNG CÁO)</t>
  </si>
  <si>
    <t xml:space="preserve">CTCP Hùng Phát | Đánh giá định kỳ: Đầu vào / Quý / Cuối năm</t>
  </si>
  <si>
    <t xml:space="preserve">▌ THÔNG TIN</t>
  </si>
  <si>
    <t xml:space="preserve">Họ và tên:___________________________   Mã NV: ___________</t>
  </si>
  <si>
    <t xml:space="preserve">Chức danh: Trưởng nhóm Media (Truyền thông &amp; Quảng cáo)   Bộ phận: Nhóm Media</t>
  </si>
  <si>
    <t xml:space="preserve">Ngày đánh giá: ___/___/______   Người đánh giá: _____________   Vị trí: TP/GĐ Marketing</t>
  </si>
  <si>
    <t xml:space="preserve">Kỳ đánh giá: □ Đầu vào   □ Quý 1   □ Quý 2   □ Quý 3   □ Cuối năm</t>
  </si>
  <si>
    <t xml:space="preserve">▌ HƯỚNG DẪN: Ghi số cấp (1-4) vào cột 'Cấp hiện tại' + bằng chứng cụ thể quan sát được. Điểm ≥ 3.0 = Đạt yêu cầu vị trí TN Media.</t>
  </si>
  <si>
    <t xml:space="preserve">TIÊU CHÍ ĐÁNH GIÁ</t>
  </si>
  <si>
    <t xml:space="preserve">BẰNG CHỨNG / VÍ DỤ QUAN SÁT ĐƯỢC</t>
  </si>
  <si>
    <t xml:space="preserve">CẤP (1-4)</t>
  </si>
  <si>
    <t xml:space="preserve">HÀNH ĐỘNG PHÁT TRIỂN</t>
  </si>
  <si>
    <t xml:space="preserve">NHÓM N1 – CHIẾN LƯỢC &amp; KẾ HOẠCH MEDIA (Trọng số 20%)</t>
  </si>
  <si>
    <t xml:space="preserve">1.1  Lập media plan &amp; chọn kênh</t>
  </si>
  <si>
    <t xml:space="preserve">1.2  Xác định tệp &amp; cấu trúc phễu</t>
  </si>
  <si>
    <t xml:space="preserve">1.3  Phân bổ ngân sách &amp; lịch</t>
  </si>
  <si>
    <t xml:space="preserve">→</t>
  </si>
  <si>
    <t xml:space="preserve">ĐIỂM TRUNG BÌNH NHÓM N1</t>
  </si>
  <si>
    <t xml:space="preserve">_____ / 4.0</t>
  </si>
  <si>
    <t xml:space="preserve">NHÓM N2 – VẬN HÀNH QUẢNG CÁO &amp; PHÂN PHỐI (Trọng số 25%)</t>
  </si>
  <si>
    <t xml:space="preserve">2.1  Set up &amp; vận hành chiến dịch</t>
  </si>
  <si>
    <t xml:space="preserve">2.2  Testing &amp; scaling</t>
  </si>
  <si>
    <t xml:space="preserve">2.3  Phân phối &amp; KOL/booking</t>
  </si>
  <si>
    <t xml:space="preserve">ĐIỂM TRUNG BÌNH NHÓM N2</t>
  </si>
  <si>
    <t xml:space="preserve">NHÓM N3 – TỐI ƯU HIỆU QUẢ &amp; QUẢN TRỊ NGÂN SÁCH (Trọng số 18%)</t>
  </si>
  <si>
    <t xml:space="preserve">3.1  Tối ưu hiệu quả (ROAS/CPA)</t>
  </si>
  <si>
    <t xml:space="preserve">3.2  Quản trị ngân sách &amp; pacing</t>
  </si>
  <si>
    <t xml:space="preserve">3.3  Phát hiện &amp; xử lý bất thường</t>
  </si>
  <si>
    <t xml:space="preserve">ĐIỂM TRUNG BÌNH NHÓM N3</t>
  </si>
  <si>
    <t xml:space="preserve">NHÓM N4 – LÃNH ĐẠO &amp; PHÁT TRIỂN NHÓM MEDIA (Trọng số 20%)</t>
  </si>
  <si>
    <t xml:space="preserve">4.1  Giao việc &amp; quản lý tiến độ</t>
  </si>
  <si>
    <t xml:space="preserve">4.2  Phát triển năng lực nhóm</t>
  </si>
  <si>
    <t xml:space="preserve">4.3  Kỷ luật, quy trình &amp; giữ người</t>
  </si>
  <si>
    <t xml:space="preserve">ĐIỂM TRUNG BÌNH NHÓM N4</t>
  </si>
  <si>
    <t xml:space="preserve">NHÓM N5 – ĐO LƯỜNG, TRACKING &amp; BÁO CÁO (Trọng số 12%)</t>
  </si>
  <si>
    <t xml:space="preserve">5.1  Tracking &amp; dữ liệu sạch</t>
  </si>
  <si>
    <t xml:space="preserve">5.2  Báo cáo &amp; insight</t>
  </si>
  <si>
    <t xml:space="preserve">ĐIỂM TRUNG BÌNH NHÓM N5</t>
  </si>
  <si>
    <t xml:space="preserve">NHÓM N6 – TƯ DUY &amp; THÁI ĐỘ (DATA-DRIVEN, KỶ LUẬT, BRAND-SAFE) (Trọng số 5%)</t>
  </si>
  <si>
    <t xml:space="preserve">6.1  Data-driven &amp; kỷ luật ngân sách</t>
  </si>
  <si>
    <t xml:space="preserve">6.2  Tuân thủ chính sách &amp; brand-safe</t>
  </si>
  <si>
    <t xml:space="preserve">ĐIỂM TRUNG BÌNH NHÓM N6</t>
  </si>
  <si>
    <t xml:space="preserve">▌ TỔNG KẾT ĐÁNH GIÁ</t>
  </si>
  <si>
    <t xml:space="preserve">ĐIỂM TỔNG HỢP CÓ TRỌNG SỐ: N1×20% + N2×25% + N3×18% + N4×20% + N5×12% + N6×5% = _____ / 4.0</t>
  </si>
  <si>
    <t xml:space="preserve">XẾP LOẠI:  □ Cần phát triển (&lt; 1.5)   □ Đang phát triển (1.5–2.49)   □ Đạt yêu cầu (2.5–3.49)   □ Xuất sắc (≥ 3.5)</t>
  </si>
  <si>
    <t xml:space="preserve">ĐIỂM MẠNH CẦN PHÁT HUY: ___________________________________________</t>
  </si>
  <si>
    <t xml:space="preserve">ĐIỂM CẦN CẢI THIỆN NGAY (ưu tiên top 1-2): _____________________________</t>
  </si>
  <si>
    <t xml:space="preserve">KẾ HOẠCH PHÁT TRIỂN 6 THÁNG TỚI: _____________________________________</t>
  </si>
  <si>
    <t xml:space="preserve">Người được đánh giá ký:_______________   Người đánh giá ký:_______________   Ngày: ___/___/______</t>
  </si>
  <si>
    <t xml:space="preserve">BỘ CÂU HỎI PHỎNG VẤN STAR – TRƯỞNG NHÓM MEDIA (TRUYỀN THÔNG &amp; QUẢNG CÁO)</t>
  </si>
  <si>
    <t xml:space="preserve">CTCP Hùng Phát | Panel 2 người | TP/GĐ Marketing + (tùy chọn) Performance/Content</t>
  </si>
  <si>
    <t xml:space="preserve">Hội đồng PV: TP/GĐ Marketing + (tùy chọn) Performance/Content. Thời gian: 60–90 phút. YÊU CẦU XEM SỐ LIỆU THỰC (ngân sách đã quản, ROAS/CPA đạt được, nền tảng đã chạy). Đánh giá cả tay nghề HANDS-ON (tự chạy &amp; tối ưu ads) lẫn năng lực dẫn dắt. Điểm ≥ 3.0 để đạt.</t>
  </si>
  <si>
    <t xml:space="preserve">CÂU HỎI PHỎNG VẤN (STAR)</t>
  </si>
  <si>
    <t xml:space="preserve">HƯỚNG DẪN ĐÁNH GIÁ &amp; CỜ ĐỎ</t>
  </si>
  <si>
    <t xml:space="preserve">ĐIỂM (1-4)</t>
  </si>
  <si>
    <t xml:space="preserve">GHI CHÚ QUAN SÁT</t>
  </si>
  <si>
    <t xml:space="preserve">N2/N3 – VẬN HÀNH &amp; TỐI ƯU (QUAN TRỌNG)</t>
  </si>
  <si>
    <t xml:space="preserve">Kể về một chiến dịch bạn TỰ set up &amp; tối ưu (nền tảng, ngân sách, mục tiêu). Bạn đạt ROAS/CPA bao nhiêu &amp; tối ưu thế nào?</t>
  </si>
  <si>
    <t xml:space="preserve">Tìm: Hands-on thực thụ, hiểu cấu trúc &amp; tối ưu, số liệu cụ thể.
🚩 Cờ đỏ: Chỉ nói lý thuyết | Không có số | Không tự chạy</t>
  </si>
  <si>
    <t xml:space="preserve">Khi một chiến dịch đang tốt bỗng tụt hiệu quả (CPA tăng mạnh), bạn chẩn đoán &amp; xử lý theo bước nào?</t>
  </si>
  <si>
    <t xml:space="preserve">Tìm: Quy trình chẩn đoán (creative fatigue/tệp/đấu giá/tracking), xử lý có hệ thống.
🚩 Cờ đỏ: Lúng túng | Đoán mò | Đổ lỗi nền tảng</t>
  </si>
  <si>
    <t xml:space="preserve">N1 – KẾ HOẠCH &amp; NGÂN SÁCH</t>
  </si>
  <si>
    <t xml:space="preserve">Bạn lập media plan &amp; phân bổ ngân sách đa nền tảng cho một đợt ra mắt sản phẩm thế nào?</t>
  </si>
  <si>
    <t xml:space="preserve">Tìm: Tư duy phễu, chọn kênh theo mục tiêu, phân bổ hợp lý.
🚩 Cờ đỏ: Dồn 1 kênh | Không theo phễu | Cảm tính</t>
  </si>
  <si>
    <t xml:space="preserve">Ngân sách bị cắt 30% giữa chiến dịch. Bạn ưu tiên &amp; điều chuyển thế nào để giữ hiệu quả?</t>
  </si>
  <si>
    <t xml:space="preserve">Tìm: Kỷ luật ngân sách, ưu tiên theo ROI, quyết định nhanh.
🚩 Cờ đỏ: Cắt đều | Không có logic | Bỏ tối ưu</t>
  </si>
  <si>
    <t xml:space="preserve">N5 – ĐO LƯỜNG</t>
  </si>
  <si>
    <t xml:space="preserve">Bạn thiết lập &amp; kiểm tra tracking (pixel/Conversion API/UTM) thế nào để số liệu đáng tin?</t>
  </si>
  <si>
    <t xml:space="preserve">Tìm: Hiểu tracking &amp; attribution, kiểm chứng dữ liệu, không tin mù số nền tảng.
🚩 Cờ đỏ: Không rành tracking | Tin số nền tảng tuyệt đối</t>
  </si>
  <si>
    <t xml:space="preserve">Khi số liệu nền tảng &amp; số liệu bán hàng thực tế lệch nhau, bạn xử lý &amp; báo cáo thế nào?</t>
  </si>
  <si>
    <t xml:space="preserve">Tìm: Đối chiếu đa nguồn, hiểu attribution, báo cáo trung thực.
🚩 Cờ đỏ: Chọn số đẹp để báo | Không đối chiếu</t>
  </si>
  <si>
    <t xml:space="preserve">N4 – LÃNH ĐẠO &amp; TÌNH HUỐNG</t>
  </si>
  <si>
    <t xml:space="preserve">7</t>
  </si>
  <si>
    <t xml:space="preserve">Bạn phát triển một media buyer còn yếu khâu tối ưu/đọc dữ liệu thế nào?</t>
  </si>
  <si>
    <t xml:space="preserve">Tìm: Coaching, IDP, nâng tay nghề tối ưu &amp; dữ liệu.
🚩 Cờ đỏ: Làm thay | Bỏ mặc | Không có cách phát triển</t>
  </si>
  <si>
    <t xml:space="preserve">8</t>
  </si>
  <si>
    <t xml:space="preserve">Phối hợp với nhóm Content thế nào khi creative không ra hiệu quả? Bạn làm gì với dữ liệu media để giúp Content?</t>
  </si>
  <si>
    <t xml:space="preserve">Tìm: Phối hợp Content-Media, dùng dữ liệu định hướng creative, không đổ lỗi.
🚩 Cờ đỏ: Đổ lỗi Content | Không phản hồi dữ liệu | Làm việc tách rời</t>
  </si>
  <si>
    <t xml:space="preserve">Tình huống &amp; Tuân thủ</t>
  </si>
  <si>
    <t xml:space="preserve">9</t>
  </si>
  <si>
    <t xml:space="preserve">Tài khoản quảng cáo bị hạn chế/khóa giữa cao điểm. Bạn xử lý &amp; phòng ngừa thế nào?</t>
  </si>
  <si>
    <t xml:space="preserve">Tìm: Hiểu chính sách nền tảng, có dự phòng tài khoản/kênh, xử lý bình tĩnh.
🚩 Cờ đỏ: Không có dự phòng | Không hiểu chính sách | Hoảng loạn</t>
  </si>
  <si>
    <t xml:space="preserve">SCORE CARD TUYỂN DỤNG – TRƯỞNG NHÓM MEDIA (TRUYỀN THÔNG &amp; QUẢNG CÁO)</t>
  </si>
  <si>
    <t xml:space="preserve">CTCP Hùng Phát | Panel ≥ 3 người</t>
  </si>
  <si>
    <t xml:space="preserve">▌ THÔNG TIN ỨNG VIÊN</t>
  </si>
  <si>
    <t xml:space="preserve">Họ tên:</t>
  </si>
  <si>
    <t xml:space="preserve">Ngày PV:</t>
  </si>
  <si>
    <t xml:space="preserve">Người PV:</t>
  </si>
  <si>
    <t xml:space="preserve">Vị trí: Trưởng nhóm Media (Truyền thông &amp; Quảng cáo) – HungPhat</t>
  </si>
  <si>
    <t xml:space="preserve">▌ BẢNG ĐIỂM NĂNG LỰC</t>
  </si>
  <si>
    <t xml:space="preserve">ĐIỂM TRỌNG SỐ</t>
  </si>
  <si>
    <t xml:space="preserve">MỨC ĐẠT TỐI THIỂU</t>
  </si>
  <si>
    <t xml:space="preserve">NHẬN XÉT PANEL</t>
  </si>
  <si>
    <t xml:space="preserve">N1 – Chiến lược &amp; Kế hoạch Media</t>
  </si>
  <si>
    <t xml:space="preserve">Cấp 3 (3.0)</t>
  </si>
  <si>
    <t xml:space="preserve">N2 – Vận hành Quảng cáo &amp; Phân phối đa nền tảng (hands-on)</t>
  </si>
  <si>
    <t xml:space="preserve">N3 – Tối ưu Hiệu quả &amp; Quản trị Ngân sách</t>
  </si>
  <si>
    <t xml:space="preserve">N4 – Lãnh đạo &amp; Phát triển Nhóm Media</t>
  </si>
  <si>
    <t xml:space="preserve">N5 – Đo lường, Tracking &amp; Báo cáo Dữ liệu</t>
  </si>
  <si>
    <t xml:space="preserve">N6 – Tư duy &amp; Thái độ (Data-driven, Kỷ luật ngân sách, Brand-safe)</t>
  </si>
  <si>
    <t xml:space="preserve">TỔNG ĐIỂM TRỌNG SỐ</t>
  </si>
  <si>
    <t xml:space="preserve">▌ ĐIỀU KIỆN LOẠI THẲNG</t>
  </si>
  <si>
    <t xml:space="preserve">🚫  Không tự set up &amp; tối ưu quảng cáo được (chỉ quản lý lý thuyết) → Loại — vị trí cần hands-on</t>
  </si>
  <si>
    <t xml:space="preserve">🚫  Điểm N2 (Vận hành) hoặc N3 (Tối ưu) &lt; 3.0 → Loại</t>
  </si>
  <si>
    <t xml:space="preserve">🚫  Không đọc/ra quyết định được từ dữ liệu chiến dịch &amp; không rành tracking → Loại</t>
  </si>
  <si>
    <t xml:space="preserve">🚫  Báo cáo số liệu thiếu trung thực (chọn số đẹp, không đối chiếu) → Loại</t>
  </si>
  <si>
    <t xml:space="preserve">🚫  Coi nhẹ chính sách nền tảng/an toàn tài khoản &amp; kỷ luật ngân sách → Cân nhắc kỹ/Loại</t>
  </si>
  <si>
    <t xml:space="preserve">🚫  Tổng điểm trọng số &lt; 2.5 → Loại</t>
  </si>
  <si>
    <t xml:space="preserve">▌ KHUYẾN NGHỊ</t>
  </si>
  <si>
    <t xml:space="preserve">⭐ Điểm ≥ 3.5</t>
  </si>
  <si>
    <t xml:space="preserve">ƯU TIÊN CAO — Offer trong 48h; hiếm người vừa chạy ads giỏi vừa dẫn dắt &amp; data-driven</t>
  </si>
  <si>
    <t xml:space="preserve">✅ Điểm 3.0–3.49</t>
  </si>
  <si>
    <t xml:space="preserve">ĐẠT — Tuyển được; IDP cho mảng yếu (lãnh đạo hoặc đo lường); review sau 3 tháng</t>
  </si>
  <si>
    <t xml:space="preserve">⚠️ Điểm 2.5–2.99</t>
  </si>
  <si>
    <t xml:space="preserve">CÂN NHẮC — Chỉ nếu hands-on (chạy &amp; tối ưu) tốt &amp; có thể đào tạo lãnh đạo; kèm sát 6 tháng</t>
  </si>
  <si>
    <t xml:space="preserve">❌ Điểm &lt; 2.5 hoặc không tự chạy/tối ưu được</t>
  </si>
  <si>
    <t xml:space="preserve">LOẠI — Không phù hợp vị trí TN Media tại HungPhat</t>
  </si>
  <si>
    <t xml:space="preserve">KẾ HOẠCH 30 – 60 – 90 NGÀY – TRƯỞNG NHÓM MEDIA (TRUYỀN THÔNG &amp; QUẢNG CÁO)</t>
  </si>
  <si>
    <t xml:space="preserve">CTCP Hùng Phát | Cam kết 2 chiều: TN Media &amp; Công ty</t>
  </si>
  <si>
    <t xml:space="preserve">TN Media cam kết: Trực tiếp vận hành &amp; tối ưu chiến dịch (không chỉ quản lý) · Kỷ luật ngân sách &amp; pacing · Đảm bảo tracking chính xác &amp; báo cáo trung thực · Tuân thủ chính sách nền tảng/brand · Phát triển nhóm media.</t>
  </si>
  <si>
    <t xml:space="preserve">Công ty cam kết: Bàn giao tài khoản quảng cáo, quyền truy cập nền tảng/tracking, ngân sách &amp; nhóm tuần đầu · Cung cấp công cụ đo lường cần thiết · Hỗ trợ phối hợp Content/Sales/Sản phẩm · Tiếp cận TP/GĐ Marketing theo nhịp.</t>
  </si>
  <si>
    <t xml:space="preserve">TUẦN</t>
  </si>
  <si>
    <t xml:space="preserve">CHỦ ĐỀ</t>
  </si>
  <si>
    <t xml:space="preserve">HÀNH ĐỘNG CỤ THỂ</t>
  </si>
  <si>
    <t xml:space="preserve">NGƯỜI HỖ TRỢ</t>
  </si>
  <si>
    <t xml:space="preserve">HOÀN THÀNH</t>
  </si>
  <si>
    <t xml:space="preserve">GIAI ĐOẠN 1 – 30 NGÀY ĐẦU: HIỂU TÀI KHOẢN, NHÓM, TRACKING &amp; HIỆN TRẠNG</t>
  </si>
  <si>
    <t xml:space="preserve">Tuần 1</t>
  </si>
  <si>
    <t xml:space="preserve">Tiếp nhận &amp; Định hướng</t>
  </si>
  <si>
    <t xml:space="preserve">Gặp TP/GĐ MKT: nhận kỳ vọng (ROAS/CPA, ngân sách, mục tiêu), thẩm quyền, top 3 ưu tiên. Nhận tài khoản quảng cáo, quyền tracking. Gặp 1-1 nhóm.</t>
  </si>
  <si>
    <t xml:space="preserve">TP/GĐ MKT · Nhóm</t>
  </si>
  <si>
    <t xml:space="preserve">□</t>
  </si>
  <si>
    <t xml:space="preserve">Tuần 2</t>
  </si>
  <si>
    <t xml:space="preserve">Audit chiến dịch &amp; hiệu quả</t>
  </si>
  <si>
    <t xml:space="preserve">Rà các chiến dịch đang/đã chạy, ROAS/CPA theo kênh, cơ cấu ngân sách. Đánh giá điểm mạnh/yếu vận hành.</t>
  </si>
  <si>
    <t xml:space="preserve">TP/GĐ MKT · Performance</t>
  </si>
  <si>
    <t xml:space="preserve">Tuần 3</t>
  </si>
  <si>
    <t xml:space="preserve">Kiểm tra tracking &amp; đánh giá nhóm</t>
  </si>
  <si>
    <t xml:space="preserve">Kiểm tracking (pixel/CAPI/UTM) &amp; độ tin dữ liệu. Đánh giá năng lực media buyer; rà công cụ.</t>
  </si>
  <si>
    <t xml:space="preserve">IT · Nhóm</t>
  </si>
  <si>
    <t xml:space="preserve">Tuần 4</t>
  </si>
  <si>
    <t xml:space="preserve">Báo cáo 30 ngày</t>
  </si>
  <si>
    <t xml:space="preserve">Hoàn thành đánh giá hiện trạng + top 5 cơ hội (hiệu quả, ngân sách, tracking, nhóm). Trình action plan 60-90 ngày.</t>
  </si>
  <si>
    <t xml:space="preserve">DELIVERABLE GIAI ĐOẠN 1 ✅</t>
  </si>
  <si>
    <t xml:space="preserve">Deliverables bắt buộc</t>
  </si>
  <si>
    <t xml:space="preserve">✅ Đánh giá hiệu quả chiến dịch &amp; cơ cấu ngân sách
✅ Kiểm tra &amp; vá tracking (số liệu đáng tin)
✅ Top 5 cơ hội + action plan được TP/GĐ MKT duyệt</t>
  </si>
  <si>
    <t xml:space="preserve">GIAI ĐOẠN 2 – 31-60 NGÀY: CHUẨN HÓA VẬN HÀNH &amp; TỐI ƯU</t>
  </si>
  <si>
    <t xml:space="preserve">Tuần 5-6</t>
  </si>
  <si>
    <t xml:space="preserve">Lập media plan &amp; chuẩn hóa vận hành</t>
  </si>
  <si>
    <t xml:space="preserve">Xây media plan đa nền tảng gắn mục tiêu/phễu; chuẩn hóa quy trình set up-tối ưu-báo cáo.</t>
  </si>
  <si>
    <t xml:space="preserve">Tuần 7</t>
  </si>
  <si>
    <t xml:space="preserve">Tối ưu &amp; testing có hệ thống</t>
  </si>
  <si>
    <t xml:space="preserve">Triển khai khung testing creative/tệp; tối ưu chiến dịch đang chạy; kiểm soát pacing &amp; ngân sách.</t>
  </si>
  <si>
    <t xml:space="preserve">Tuần 8</t>
  </si>
  <si>
    <t xml:space="preserve">Phát triển nhóm &amp; vận hành thực tế</t>
  </si>
  <si>
    <t xml:space="preserve">Lập &amp; phê duyệt IDP nhóm. Trực tiếp + nhóm vận hành ≥ 1 chiến dịch đạt mục tiêu.</t>
  </si>
  <si>
    <t xml:space="preserve">GĐHR · Nhóm</t>
  </si>
  <si>
    <t xml:space="preserve">DELIVERABLE GIAI ĐOẠN 2 ✅</t>
  </si>
  <si>
    <t xml:space="preserve">✅ Media plan &amp; quy trình vận hành chuẩn
✅ Khung testing &amp; tối ưu áp dụng; pacing &amp; ngân sách kiểm soát
✅ IDP nhóm phê duyệt + ≥ 1 chiến dịch đạt mục tiêu</t>
  </si>
  <si>
    <t xml:space="preserve">GIAI ĐOẠN 3 – 61-90 NGÀY: HIỆU QUẢ, SCALING &amp; CAM KẾT</t>
  </si>
  <si>
    <t xml:space="preserve">Tuần 9-10</t>
  </si>
  <si>
    <t xml:space="preserve">Scaling &amp; tối ưu hiệu quả</t>
  </si>
  <si>
    <t xml:space="preserve">Scale chiến dịch thắng; tối ưu ROAS/CPA; phối hợp Content cải thiện creative theo dữ liệu.</t>
  </si>
  <si>
    <t xml:space="preserve">Tuần 11</t>
  </si>
  <si>
    <t xml:space="preserve">Chuẩn hóa dashboard &amp; quy trình báo cáo</t>
  </si>
  <si>
    <t xml:space="preserve">Xây dashboard hiệu quả media (kênh/chiến dịch/ngân sách) &amp; nhịp báo cáo chuẩn.</t>
  </si>
  <si>
    <t xml:space="preserve">Tuần 12</t>
  </si>
  <si>
    <t xml:space="preserve">Tổng kết 90 ngày</t>
  </si>
  <si>
    <t xml:space="preserve">Báo cáo: hiệu quả (ROAS/CPA), ngân sách, tracking, nhóm, bài học. Trình KPI &amp; kế hoạch media 6 tháng tiếp.</t>
  </si>
  <si>
    <t xml:space="preserve">DELIVERABLE GIAI ĐOẠN 3 ✅</t>
  </si>
  <si>
    <t xml:space="preserve">✅ Hiệu quả media đạt ≥ KH; scaling chiến dịch thắng
✅ Dashboard &amp; nhịp báo cáo chuẩn
✅ KPI &amp; kế hoạch media 6 tháng tiếp được TP/GĐ MKT ký</t>
  </si>
  <si>
    <t xml:space="preserve">LỘ TRÌNH PHÁT TRIỂN – TRƯỞNG NHÓM MEDIA (TRUYỀN THÔNG &amp; QUẢNG CÁO)</t>
  </si>
  <si>
    <t xml:space="preserve">CTCP Hùng Phát | Lộ trình thăng tiến từ vị trí hiện tại</t>
  </si>
  <si>
    <t xml:space="preserve">Đang đảm nhận</t>
  </si>
  <si>
    <t xml:space="preserve">12-24 tháng</t>
  </si>
  <si>
    <t xml:space="preserve">18-24 tháng</t>
  </si>
  <si>
    <t xml:space="preserve">24-36 tháng</t>
  </si>
  <si>
    <t xml:space="preserve">Kết quả mảng bền vững; succession đủ</t>
  </si>
  <si>
    <t xml:space="preserve">2-3 năm</t>
  </si>
  <si>
    <t xml:space="preserve">▌ ĐỂ ĐẠT THĂNG TIẾN NHANH HƠN – 3 ĐIỀU NÊN LÀM</t>
  </si>
  <si>
    <t xml:space="preserve">1. HANDS-ON + DATA-DRIVEN LÀ LỢI THẾ: Trưởng nhóm vừa tự chạy &amp; tối ưu ads giỏi vừa ra quyết định bằng dữ liệu → đạt ROAS/CPA bằng số thật, được tin tưởng giao ngân sách lớn hơn.</t>
  </si>
  <si>
    <t xml:space="preserve">2. HIỆU QUẢ GẮN KINH DOANH: Ai chứng minh media tạo ra doanh số (ROAS/CPA tốt, tracking đáng tin) → media trở thành động cơ tăng trưởng, không chỉ 'đốt tiền'.</t>
  </si>
  <si>
    <t xml:space="preserve">3. XÂY ĐỘI &amp; QUY TRÌNH SCALING: Ai chuẩn hóa quy trình vận hành-tối ưu &amp; phát triển nhóm media có kế thừa → chứng minh tư duy xây dựng, là bệ phóng lên Quản lý/Trưởng phòng.</t>
  </si>
  <si>
    <t xml:space="preserve">▌ XÁC NHẬN &amp; HIỆU LỰC</t>
  </si>
  <si>
    <t xml:space="preserve">Người được bổ nhiệm xác nhận (Ký, ghi rõ họ tên):</t>
  </si>
  <si>
    <t xml:space="preserve">TP / GĐ Marketing phê duyệt (Ký, đóng dấu):</t>
  </si>
  <si>
    <t xml:space="preserve">Ngày hiệu lực: ___/___/______</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</si>
</sst>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FFFFFF"/>
      <name val="Arial"/>
      <family val="0"/>
      <charset val="1"/>
    </font>
  </fonts>
  <fills count="12">
    <fill>
      <patternFill patternType="none"/>
    </fill>
    <fill>
      <patternFill patternType="gray125"/>
    </fill>
    <fill>
      <patternFill patternType="solid">
        <fgColor rgb="FF1A3C6E"/>
        <bgColor rgb="FF333399"/>
      </patternFill>
    </fill>
    <fill>
      <patternFill patternType="solid">
        <fgColor rgb="FF2E75B6"/>
        <bgColor rgb="FF0066CC"/>
      </patternFill>
    </fill>
    <fill>
      <patternFill patternType="solid">
        <fgColor rgb="FFDEEAF1"/>
        <bgColor rgb="FFD6E4F0"/>
      </patternFill>
    </fill>
    <fill>
      <patternFill patternType="solid">
        <fgColor rgb="FFFFFFFF"/>
        <bgColor rgb="FFF2F2F2"/>
      </patternFill>
    </fill>
    <fill>
      <patternFill patternType="solid">
        <fgColor rgb="FFE9F3FF"/>
        <bgColor rgb="FFF2F2F2"/>
      </patternFill>
    </fill>
    <fill>
      <patternFill patternType="solid">
        <fgColor rgb="FFF2F2F2"/>
        <bgColor rgb="FFE9F3FF"/>
      </patternFill>
    </fill>
    <fill>
      <patternFill patternType="solid">
        <fgColor rgb="FFFCE4E4"/>
        <bgColor rgb="FFF2F2F2"/>
      </patternFill>
    </fill>
    <fill>
      <patternFill patternType="solid">
        <fgColor rgb="FFFFF2CC"/>
        <bgColor rgb="FFFCE4E4"/>
      </patternFill>
    </fill>
    <fill>
      <patternFill patternType="solid">
        <fgColor rgb="FFE2EFDA"/>
        <bgColor rgb="FFDEEAF1"/>
      </patternFill>
    </fill>
    <fill>
      <patternFill patternType="solid">
        <fgColor rgb="FFD6E4F0"/>
        <bgColor rgb="FFDEEA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9F3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DEEAF1"/>
      <rgbColor rgb="FFE2EFDA"/>
      <rgbColor rgb="FFF2F2F2"/>
      <rgbColor rgb="FF99CCFF"/>
      <rgbColor rgb="FFFF99CC"/>
      <rgbColor rgb="FFCC99FF"/>
      <rgbColor rgb="FFFCE4E4"/>
      <rgbColor rgb="FF2E75B6"/>
      <rgbColor rgb="FF33CCCC"/>
      <rgbColor rgb="FF99CC00"/>
      <rgbColor rgb="FFFFCC00"/>
      <rgbColor rgb="FFFF9900"/>
      <rgbColor rgb="FFFF6600"/>
      <rgbColor rgb="FF666699"/>
      <rgbColor rgb="FF969696"/>
      <rgbColor rgb="FF1A3C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7"/>
    <col collapsed="false" customWidth="true" hidden="false" outlineLevel="0" max="3" min="3" style="0" width="31"/>
    <col collapsed="false" customWidth="true" hidden="false" outlineLevel="0" max="4" min="4" style="0" width="18"/>
    <col collapsed="false" customWidth="true" hidden="false" outlineLevel="0" max="5" min="5" style="0" width="34"/>
    <col collapsed="false" customWidth="true" hidden="false" outlineLevel="0" max="6" min="6" style="0" width="15.39"/>
  </cols>
  <sheetData>
    <row r="1" customFormat="false" ht="37.5" hidden="false" customHeight="true" outlineLevel="0" collapsed="false">
      <c r="A1" s="1" t="s">
        <v>0</v>
      </c>
      <c r="B1" s="1"/>
      <c r="C1" s="1"/>
      <c r="D1" s="1"/>
      <c r="E1" s="1"/>
      <c r="F1" s="1"/>
    </row>
    <row r="2" customFormat="false" ht="21.75" hidden="false" customHeight="true" outlineLevel="0" collapsed="false">
      <c r="A2" s="2" t="s">
        <v>1</v>
      </c>
      <c r="B2" s="2"/>
      <c r="C2" s="2"/>
      <c r="D2" s="2"/>
      <c r="E2" s="2"/>
      <c r="F2" s="2"/>
    </row>
    <row r="3" customFormat="false" ht="19.5" hidden="false" customHeight="true" outlineLevel="0" collapsed="false">
      <c r="A3" s="3" t="s">
        <v>2</v>
      </c>
      <c r="B3" s="3"/>
      <c r="C3" s="3"/>
      <c r="D3" s="3"/>
      <c r="E3" s="3"/>
      <c r="F3" s="3"/>
    </row>
    <row r="4" customFormat="false" ht="15" hidden="false" customHeight="true" outlineLevel="0" collapsed="false">
      <c r="A4" s="4" t="s">
        <v>3</v>
      </c>
      <c r="B4" s="5" t="s">
        <v>4</v>
      </c>
      <c r="C4" s="5"/>
      <c r="D4" s="5"/>
      <c r="E4" s="5"/>
      <c r="F4" s="5"/>
    </row>
    <row r="5" customFormat="false" ht="15" hidden="false" customHeight="true" outlineLevel="0" collapsed="false">
      <c r="A5" s="4" t="s">
        <v>5</v>
      </c>
      <c r="B5" s="5" t="s">
        <v>6</v>
      </c>
      <c r="C5" s="5"/>
      <c r="D5" s="5"/>
      <c r="E5" s="5"/>
      <c r="F5" s="5"/>
    </row>
    <row r="6" customFormat="false" ht="22.35" hidden="false" customHeight="true" outlineLevel="0" collapsed="false">
      <c r="A6" s="4" t="s">
        <v>7</v>
      </c>
      <c r="B6" s="5" t="s">
        <v>8</v>
      </c>
      <c r="C6" s="5"/>
      <c r="D6" s="5"/>
      <c r="E6" s="5"/>
      <c r="F6" s="5"/>
    </row>
    <row r="7" customFormat="false" ht="15" hidden="false" customHeight="true" outlineLevel="0" collapsed="false">
      <c r="A7" s="4" t="s">
        <v>9</v>
      </c>
      <c r="B7" s="5" t="s">
        <v>10</v>
      </c>
      <c r="C7" s="5"/>
      <c r="D7" s="5"/>
      <c r="E7" s="5"/>
      <c r="F7" s="5"/>
    </row>
    <row r="8" customFormat="false" ht="22.35" hidden="false" customHeight="true" outlineLevel="0" collapsed="false">
      <c r="A8" s="4" t="s">
        <v>11</v>
      </c>
      <c r="B8" s="5" t="s">
        <v>12</v>
      </c>
      <c r="C8" s="5"/>
      <c r="D8" s="5"/>
      <c r="E8" s="5"/>
      <c r="F8" s="5"/>
    </row>
    <row r="9" customFormat="false" ht="22.35" hidden="false" customHeight="true" outlineLevel="0" collapsed="false">
      <c r="A9" s="4" t="s">
        <v>13</v>
      </c>
      <c r="B9" s="5" t="s">
        <v>14</v>
      </c>
      <c r="C9" s="5"/>
      <c r="D9" s="5"/>
      <c r="E9" s="5"/>
      <c r="F9" s="5"/>
    </row>
    <row r="10" customFormat="false" ht="22.35" hidden="false" customHeight="true" outlineLevel="0" collapsed="false">
      <c r="A10" s="4" t="s">
        <v>15</v>
      </c>
      <c r="B10" s="5" t="s">
        <v>16</v>
      </c>
      <c r="C10" s="5"/>
      <c r="D10" s="5"/>
      <c r="E10" s="5"/>
      <c r="F10" s="5"/>
    </row>
    <row r="11" customFormat="false" ht="32.8" hidden="false" customHeight="true" outlineLevel="0" collapsed="false">
      <c r="A11" s="4" t="s">
        <v>17</v>
      </c>
      <c r="B11" s="5" t="s">
        <v>18</v>
      </c>
      <c r="C11" s="5"/>
      <c r="D11" s="5"/>
      <c r="E11" s="5"/>
      <c r="F11" s="5"/>
    </row>
    <row r="12" customFormat="false" ht="15" hidden="false" customHeight="true" outlineLevel="0" collapsed="false">
      <c r="A12" s="4" t="s">
        <v>19</v>
      </c>
      <c r="B12" s="5" t="s">
        <v>20</v>
      </c>
      <c r="C12" s="5"/>
      <c r="D12" s="5"/>
      <c r="E12" s="5"/>
      <c r="F12" s="5"/>
    </row>
    <row r="13" customFormat="false" ht="22.35" hidden="false" customHeight="true" outlineLevel="0" collapsed="false">
      <c r="A13" s="4" t="s">
        <v>21</v>
      </c>
      <c r="B13" s="5" t="s">
        <v>22</v>
      </c>
      <c r="C13" s="5"/>
      <c r="D13" s="5"/>
      <c r="E13" s="5"/>
      <c r="F13" s="5"/>
    </row>
    <row r="14" customFormat="false" ht="19.5" hidden="false" customHeight="true" outlineLevel="0" collapsed="false">
      <c r="A14" s="3" t="s">
        <v>23</v>
      </c>
      <c r="B14" s="3"/>
      <c r="C14" s="3"/>
      <c r="D14" s="3"/>
      <c r="E14" s="3"/>
      <c r="F14" s="3"/>
    </row>
    <row r="15" customFormat="false" ht="57.75" hidden="false" customHeight="true" outlineLevel="0" collapsed="false">
      <c r="A15" s="6" t="s">
        <v>24</v>
      </c>
      <c r="B15" s="6"/>
      <c r="C15" s="6"/>
      <c r="D15" s="6"/>
      <c r="E15" s="6"/>
      <c r="F15" s="6"/>
    </row>
    <row r="16" customFormat="false" ht="19.5" hidden="false" customHeight="true" outlineLevel="0" collapsed="false">
      <c r="A16" s="3" t="s">
        <v>25</v>
      </c>
      <c r="B16" s="3"/>
      <c r="C16" s="3"/>
      <c r="D16" s="3"/>
      <c r="E16" s="3"/>
      <c r="F16" s="3"/>
    </row>
    <row r="17" customFormat="false" ht="24" hidden="false" customHeight="true" outlineLevel="0" collapsed="false">
      <c r="A17" s="7" t="s">
        <v>26</v>
      </c>
      <c r="B17" s="7" t="s">
        <v>27</v>
      </c>
      <c r="C17" s="7" t="s">
        <v>28</v>
      </c>
      <c r="D17" s="7" t="s">
        <v>29</v>
      </c>
      <c r="E17" s="7" t="s">
        <v>30</v>
      </c>
      <c r="F17" s="7" t="s">
        <v>31</v>
      </c>
    </row>
    <row r="18" customFormat="false" ht="18" hidden="false" customHeight="true" outlineLevel="0" collapsed="false">
      <c r="A18" s="8" t="s">
        <v>32</v>
      </c>
      <c r="B18" s="8"/>
      <c r="C18" s="8"/>
      <c r="D18" s="8"/>
      <c r="E18" s="8"/>
      <c r="F18" s="8"/>
    </row>
    <row r="19" customFormat="false" ht="45.75" hidden="false" customHeight="true" outlineLevel="0" collapsed="false">
      <c r="A19" s="9" t="s">
        <v>33</v>
      </c>
      <c r="B19" s="5" t="s">
        <v>34</v>
      </c>
      <c r="C19" s="5" t="s">
        <v>35</v>
      </c>
      <c r="D19" s="10" t="s">
        <v>36</v>
      </c>
      <c r="E19" s="10" t="s">
        <v>37</v>
      </c>
      <c r="F19" s="10" t="s">
        <v>38</v>
      </c>
    </row>
    <row r="20" customFormat="false" ht="45.75" hidden="false" customHeight="true" outlineLevel="0" collapsed="false">
      <c r="A20" s="11" t="s">
        <v>39</v>
      </c>
      <c r="B20" s="12" t="s">
        <v>40</v>
      </c>
      <c r="C20" s="12" t="s">
        <v>41</v>
      </c>
      <c r="D20" s="13" t="s">
        <v>36</v>
      </c>
      <c r="E20" s="13" t="s">
        <v>42</v>
      </c>
      <c r="F20" s="13" t="s">
        <v>43</v>
      </c>
    </row>
    <row r="21" customFormat="false" ht="45.75" hidden="false" customHeight="true" outlineLevel="0" collapsed="false">
      <c r="A21" s="9" t="s">
        <v>44</v>
      </c>
      <c r="B21" s="5" t="s">
        <v>45</v>
      </c>
      <c r="C21" s="5" t="s">
        <v>46</v>
      </c>
      <c r="D21" s="10" t="s">
        <v>47</v>
      </c>
      <c r="E21" s="10" t="s">
        <v>48</v>
      </c>
      <c r="F21" s="10" t="s">
        <v>49</v>
      </c>
    </row>
    <row r="22" customFormat="false" ht="18" hidden="false" customHeight="true" outlineLevel="0" collapsed="false">
      <c r="A22" s="8" t="s">
        <v>50</v>
      </c>
      <c r="B22" s="8"/>
      <c r="C22" s="8"/>
      <c r="D22" s="8"/>
      <c r="E22" s="8"/>
      <c r="F22" s="8"/>
    </row>
    <row r="23" customFormat="false" ht="45.75" hidden="false" customHeight="true" outlineLevel="0" collapsed="false">
      <c r="A23" s="9" t="s">
        <v>51</v>
      </c>
      <c r="B23" s="5" t="s">
        <v>52</v>
      </c>
      <c r="C23" s="5" t="s">
        <v>53</v>
      </c>
      <c r="D23" s="10" t="s">
        <v>54</v>
      </c>
      <c r="E23" s="10" t="s">
        <v>55</v>
      </c>
      <c r="F23" s="10" t="s">
        <v>56</v>
      </c>
    </row>
    <row r="24" customFormat="false" ht="45.75" hidden="false" customHeight="true" outlineLevel="0" collapsed="false">
      <c r="A24" s="11" t="s">
        <v>57</v>
      </c>
      <c r="B24" s="12" t="s">
        <v>58</v>
      </c>
      <c r="C24" s="12" t="s">
        <v>59</v>
      </c>
      <c r="D24" s="13" t="s">
        <v>54</v>
      </c>
      <c r="E24" s="13" t="s">
        <v>60</v>
      </c>
      <c r="F24" s="13" t="s">
        <v>61</v>
      </c>
    </row>
    <row r="25" customFormat="false" ht="45.75" hidden="false" customHeight="true" outlineLevel="0" collapsed="false">
      <c r="A25" s="9" t="s">
        <v>62</v>
      </c>
      <c r="B25" s="5" t="s">
        <v>63</v>
      </c>
      <c r="C25" s="5" t="s">
        <v>64</v>
      </c>
      <c r="D25" s="10" t="s">
        <v>36</v>
      </c>
      <c r="E25" s="10" t="s">
        <v>65</v>
      </c>
      <c r="F25" s="10" t="s">
        <v>66</v>
      </c>
    </row>
    <row r="26" customFormat="false" ht="18" hidden="false" customHeight="true" outlineLevel="0" collapsed="false">
      <c r="A26" s="8" t="s">
        <v>67</v>
      </c>
      <c r="B26" s="8"/>
      <c r="C26" s="8"/>
      <c r="D26" s="8"/>
      <c r="E26" s="8"/>
      <c r="F26" s="8"/>
    </row>
    <row r="27" customFormat="false" ht="45.75" hidden="false" customHeight="true" outlineLevel="0" collapsed="false">
      <c r="A27" s="9" t="s">
        <v>68</v>
      </c>
      <c r="B27" s="5" t="s">
        <v>69</v>
      </c>
      <c r="C27" s="5" t="s">
        <v>70</v>
      </c>
      <c r="D27" s="10" t="s">
        <v>71</v>
      </c>
      <c r="E27" s="10" t="s">
        <v>72</v>
      </c>
      <c r="F27" s="10" t="s">
        <v>73</v>
      </c>
    </row>
    <row r="28" customFormat="false" ht="45.75" hidden="false" customHeight="true" outlineLevel="0" collapsed="false">
      <c r="A28" s="11" t="s">
        <v>74</v>
      </c>
      <c r="B28" s="12" t="s">
        <v>75</v>
      </c>
      <c r="C28" s="12" t="s">
        <v>76</v>
      </c>
      <c r="D28" s="13" t="s">
        <v>54</v>
      </c>
      <c r="E28" s="13" t="s">
        <v>77</v>
      </c>
      <c r="F28" s="13" t="s">
        <v>78</v>
      </c>
    </row>
    <row r="29" customFormat="false" ht="45.75" hidden="false" customHeight="true" outlineLevel="0" collapsed="false">
      <c r="A29" s="9" t="s">
        <v>79</v>
      </c>
      <c r="B29" s="5" t="s">
        <v>80</v>
      </c>
      <c r="C29" s="5" t="s">
        <v>81</v>
      </c>
      <c r="D29" s="10" t="s">
        <v>71</v>
      </c>
      <c r="E29" s="10" t="s">
        <v>82</v>
      </c>
      <c r="F29" s="10" t="s">
        <v>83</v>
      </c>
    </row>
    <row r="30" customFormat="false" ht="18" hidden="false" customHeight="true" outlineLevel="0" collapsed="false">
      <c r="A30" s="8" t="s">
        <v>84</v>
      </c>
      <c r="B30" s="8"/>
      <c r="C30" s="8"/>
      <c r="D30" s="8"/>
      <c r="E30" s="8"/>
      <c r="F30" s="8"/>
    </row>
    <row r="31" customFormat="false" ht="45.75" hidden="false" customHeight="true" outlineLevel="0" collapsed="false">
      <c r="A31" s="9" t="s">
        <v>85</v>
      </c>
      <c r="B31" s="5" t="s">
        <v>86</v>
      </c>
      <c r="C31" s="5" t="s">
        <v>87</v>
      </c>
      <c r="D31" s="10" t="s">
        <v>54</v>
      </c>
      <c r="E31" s="10" t="s">
        <v>88</v>
      </c>
      <c r="F31" s="10" t="s">
        <v>89</v>
      </c>
    </row>
    <row r="32" customFormat="false" ht="45.75" hidden="false" customHeight="true" outlineLevel="0" collapsed="false">
      <c r="A32" s="11" t="s">
        <v>90</v>
      </c>
      <c r="B32" s="12" t="s">
        <v>91</v>
      </c>
      <c r="C32" s="12" t="s">
        <v>92</v>
      </c>
      <c r="D32" s="13" t="s">
        <v>47</v>
      </c>
      <c r="E32" s="13" t="s">
        <v>93</v>
      </c>
      <c r="F32" s="13" t="s">
        <v>94</v>
      </c>
    </row>
    <row r="33" customFormat="false" ht="45.75" hidden="false" customHeight="true" outlineLevel="0" collapsed="false">
      <c r="A33" s="9" t="s">
        <v>95</v>
      </c>
      <c r="B33" s="5" t="s">
        <v>96</v>
      </c>
      <c r="C33" s="5" t="s">
        <v>97</v>
      </c>
      <c r="D33" s="10" t="s">
        <v>98</v>
      </c>
      <c r="E33" s="10" t="s">
        <v>99</v>
      </c>
      <c r="F33" s="10" t="s">
        <v>100</v>
      </c>
    </row>
    <row r="34" customFormat="false" ht="18" hidden="false" customHeight="true" outlineLevel="0" collapsed="false">
      <c r="A34" s="8" t="s">
        <v>101</v>
      </c>
      <c r="B34" s="8"/>
      <c r="C34" s="8"/>
      <c r="D34" s="8"/>
      <c r="E34" s="8"/>
      <c r="F34" s="8"/>
    </row>
    <row r="35" customFormat="false" ht="45.75" hidden="false" customHeight="true" outlineLevel="0" collapsed="false">
      <c r="A35" s="9" t="s">
        <v>102</v>
      </c>
      <c r="B35" s="5" t="s">
        <v>103</v>
      </c>
      <c r="C35" s="5" t="s">
        <v>104</v>
      </c>
      <c r="D35" s="10" t="s">
        <v>36</v>
      </c>
      <c r="E35" s="10" t="s">
        <v>105</v>
      </c>
      <c r="F35" s="10" t="s">
        <v>106</v>
      </c>
    </row>
    <row r="36" customFormat="false" ht="45.75" hidden="false" customHeight="true" outlineLevel="0" collapsed="false">
      <c r="A36" s="11" t="s">
        <v>107</v>
      </c>
      <c r="B36" s="12" t="s">
        <v>108</v>
      </c>
      <c r="C36" s="12" t="s">
        <v>109</v>
      </c>
      <c r="D36" s="13" t="s">
        <v>110</v>
      </c>
      <c r="E36" s="13" t="s">
        <v>111</v>
      </c>
      <c r="F36" s="13" t="s">
        <v>49</v>
      </c>
    </row>
    <row r="37" customFormat="false" ht="18" hidden="false" customHeight="true" outlineLevel="0" collapsed="false">
      <c r="A37" s="8" t="s">
        <v>112</v>
      </c>
      <c r="B37" s="8"/>
      <c r="C37" s="8"/>
      <c r="D37" s="8"/>
      <c r="E37" s="8"/>
      <c r="F37" s="8"/>
    </row>
    <row r="38" customFormat="false" ht="45.75" hidden="false" customHeight="true" outlineLevel="0" collapsed="false">
      <c r="A38" s="9" t="s">
        <v>113</v>
      </c>
      <c r="B38" s="5" t="s">
        <v>114</v>
      </c>
      <c r="C38" s="5" t="s">
        <v>115</v>
      </c>
      <c r="D38" s="10" t="s">
        <v>36</v>
      </c>
      <c r="E38" s="10" t="s">
        <v>116</v>
      </c>
      <c r="F38" s="10" t="s">
        <v>117</v>
      </c>
    </row>
    <row r="39" customFormat="false" ht="45.75" hidden="false" customHeight="true" outlineLevel="0" collapsed="false">
      <c r="A39" s="11" t="s">
        <v>118</v>
      </c>
      <c r="B39" s="12" t="s">
        <v>119</v>
      </c>
      <c r="C39" s="12" t="s">
        <v>120</v>
      </c>
      <c r="D39" s="13" t="s">
        <v>47</v>
      </c>
      <c r="E39" s="13" t="s">
        <v>121</v>
      </c>
      <c r="F39" s="13" t="s">
        <v>122</v>
      </c>
    </row>
    <row r="40" customFormat="false" ht="45.75" hidden="false" customHeight="true" outlineLevel="0" collapsed="false">
      <c r="A40" s="9" t="s">
        <v>123</v>
      </c>
      <c r="B40" s="5" t="s">
        <v>124</v>
      </c>
      <c r="C40" s="5" t="s">
        <v>125</v>
      </c>
      <c r="D40" s="10" t="s">
        <v>98</v>
      </c>
      <c r="E40" s="10" t="s">
        <v>126</v>
      </c>
      <c r="F40" s="10" t="s">
        <v>127</v>
      </c>
    </row>
    <row r="41" customFormat="false" ht="19.5" hidden="false" customHeight="true" outlineLevel="0" collapsed="false">
      <c r="A41" s="3" t="s">
        <v>128</v>
      </c>
      <c r="B41" s="3"/>
      <c r="C41" s="3"/>
      <c r="D41" s="3"/>
      <c r="E41" s="3"/>
      <c r="F41" s="3"/>
    </row>
    <row r="42" customFormat="false" ht="24" hidden="false" customHeight="true" outlineLevel="0" collapsed="false">
      <c r="A42" s="7" t="s">
        <v>26</v>
      </c>
      <c r="B42" s="7" t="s">
        <v>129</v>
      </c>
      <c r="C42" s="7" t="s">
        <v>130</v>
      </c>
      <c r="D42" s="7" t="s">
        <v>131</v>
      </c>
      <c r="E42" s="7" t="s">
        <v>132</v>
      </c>
      <c r="F42" s="7" t="s">
        <v>133</v>
      </c>
    </row>
    <row r="43" customFormat="false" ht="33.75" hidden="false" customHeight="true" outlineLevel="0" collapsed="false">
      <c r="A43" s="9" t="s">
        <v>134</v>
      </c>
      <c r="B43" s="5" t="s">
        <v>135</v>
      </c>
      <c r="C43" s="10" t="s">
        <v>136</v>
      </c>
      <c r="D43" s="5" t="s">
        <v>137</v>
      </c>
      <c r="E43" s="5" t="s">
        <v>138</v>
      </c>
      <c r="F43" s="5" t="s">
        <v>139</v>
      </c>
    </row>
    <row r="44" customFormat="false" ht="33.75" hidden="false" customHeight="true" outlineLevel="0" collapsed="false">
      <c r="A44" s="11" t="s">
        <v>140</v>
      </c>
      <c r="B44" s="12" t="s">
        <v>141</v>
      </c>
      <c r="C44" s="13" t="s">
        <v>142</v>
      </c>
      <c r="D44" s="12" t="s">
        <v>143</v>
      </c>
      <c r="E44" s="12" t="s">
        <v>144</v>
      </c>
      <c r="F44" s="12" t="s">
        <v>145</v>
      </c>
    </row>
    <row r="45" customFormat="false" ht="33.75" hidden="false" customHeight="true" outlineLevel="0" collapsed="false">
      <c r="A45" s="9" t="s">
        <v>146</v>
      </c>
      <c r="B45" s="5" t="s">
        <v>147</v>
      </c>
      <c r="C45" s="10" t="s">
        <v>148</v>
      </c>
      <c r="D45" s="5" t="s">
        <v>149</v>
      </c>
      <c r="E45" s="5" t="s">
        <v>150</v>
      </c>
      <c r="F45" s="5" t="s">
        <v>151</v>
      </c>
    </row>
    <row r="46" customFormat="false" ht="33.75" hidden="false" customHeight="true" outlineLevel="0" collapsed="false">
      <c r="A46" s="11" t="s">
        <v>152</v>
      </c>
      <c r="B46" s="12" t="s">
        <v>153</v>
      </c>
      <c r="C46" s="13" t="s">
        <v>154</v>
      </c>
      <c r="D46" s="12" t="s">
        <v>155</v>
      </c>
      <c r="E46" s="12" t="s">
        <v>156</v>
      </c>
      <c r="F46" s="12" t="s">
        <v>157</v>
      </c>
    </row>
    <row r="47" customFormat="false" ht="33.75" hidden="false" customHeight="true" outlineLevel="0" collapsed="false">
      <c r="A47" s="9" t="s">
        <v>158</v>
      </c>
      <c r="B47" s="5" t="s">
        <v>159</v>
      </c>
      <c r="C47" s="10" t="s">
        <v>160</v>
      </c>
      <c r="D47" s="5" t="s">
        <v>161</v>
      </c>
      <c r="E47" s="5" t="s">
        <v>162</v>
      </c>
      <c r="F47" s="5" t="s">
        <v>163</v>
      </c>
    </row>
    <row r="48" customFormat="false" ht="33.75" hidden="false" customHeight="true" outlineLevel="0" collapsed="false">
      <c r="A48" s="11" t="s">
        <v>164</v>
      </c>
      <c r="B48" s="12" t="s">
        <v>165</v>
      </c>
      <c r="C48" s="13" t="s">
        <v>166</v>
      </c>
      <c r="D48" s="12" t="s">
        <v>167</v>
      </c>
      <c r="E48" s="12" t="s">
        <v>168</v>
      </c>
      <c r="F48" s="12" t="s">
        <v>169</v>
      </c>
    </row>
    <row r="49" customFormat="false" ht="19.5" hidden="false" customHeight="true" outlineLevel="0" collapsed="false">
      <c r="A49" s="3" t="s">
        <v>170</v>
      </c>
      <c r="B49" s="3"/>
      <c r="C49" s="3"/>
      <c r="D49" s="3"/>
      <c r="E49" s="3"/>
      <c r="F49" s="3"/>
    </row>
    <row r="50" customFormat="false" ht="24" hidden="false" customHeight="true" outlineLevel="0" collapsed="false">
      <c r="A50" s="7" t="s">
        <v>171</v>
      </c>
      <c r="B50" s="7"/>
      <c r="C50" s="7"/>
      <c r="D50" s="7" t="s">
        <v>172</v>
      </c>
      <c r="E50" s="7"/>
      <c r="F50" s="7"/>
    </row>
    <row r="51" customFormat="false" ht="30" hidden="false" customHeight="true" outlineLevel="0" collapsed="false">
      <c r="A51" s="5" t="s">
        <v>173</v>
      </c>
      <c r="B51" s="5"/>
      <c r="C51" s="5"/>
      <c r="D51" s="5" t="s">
        <v>174</v>
      </c>
      <c r="E51" s="5"/>
      <c r="F51" s="5"/>
    </row>
    <row r="52" customFormat="false" ht="30" hidden="false" customHeight="true" outlineLevel="0" collapsed="false">
      <c r="A52" s="12" t="s">
        <v>175</v>
      </c>
      <c r="B52" s="12"/>
      <c r="C52" s="12"/>
      <c r="D52" s="12" t="s">
        <v>176</v>
      </c>
      <c r="E52" s="12"/>
      <c r="F52" s="12"/>
    </row>
    <row r="53" customFormat="false" ht="30" hidden="false" customHeight="true" outlineLevel="0" collapsed="false">
      <c r="A53" s="5" t="s">
        <v>177</v>
      </c>
      <c r="B53" s="5"/>
      <c r="C53" s="5"/>
      <c r="D53" s="5" t="s">
        <v>178</v>
      </c>
      <c r="E53" s="5"/>
      <c r="F53" s="5"/>
    </row>
    <row r="54" customFormat="false" ht="30" hidden="false" customHeight="true" outlineLevel="0" collapsed="false">
      <c r="A54" s="12" t="s">
        <v>179</v>
      </c>
      <c r="B54" s="12"/>
      <c r="C54" s="12"/>
      <c r="D54" s="12" t="s">
        <v>180</v>
      </c>
      <c r="E54" s="12"/>
      <c r="F54" s="12"/>
    </row>
    <row r="55" customFormat="false" ht="30" hidden="false" customHeight="true" outlineLevel="0" collapsed="false">
      <c r="A55" s="5" t="s">
        <v>181</v>
      </c>
      <c r="B55" s="5"/>
      <c r="C55" s="5"/>
      <c r="D55" s="5" t="s">
        <v>182</v>
      </c>
      <c r="E55" s="5"/>
      <c r="F55" s="5"/>
    </row>
    <row r="56" customFormat="false" ht="30" hidden="false" customHeight="true" outlineLevel="0" collapsed="false">
      <c r="A56" s="12" t="s">
        <v>183</v>
      </c>
      <c r="B56" s="12"/>
      <c r="C56" s="12"/>
      <c r="D56" s="12" t="s">
        <v>184</v>
      </c>
      <c r="E56" s="12"/>
      <c r="F56" s="12"/>
    </row>
    <row r="57" customFormat="false" ht="30" hidden="false" customHeight="true" outlineLevel="0" collapsed="false">
      <c r="A57" s="5" t="s">
        <v>185</v>
      </c>
      <c r="B57" s="5"/>
      <c r="C57" s="5"/>
      <c r="D57" s="5" t="s">
        <v>186</v>
      </c>
      <c r="E57" s="5"/>
      <c r="F57" s="5"/>
    </row>
    <row r="58" customFormat="false" ht="19.5" hidden="false" customHeight="true" outlineLevel="0" collapsed="false">
      <c r="A58" s="3" t="s">
        <v>187</v>
      </c>
      <c r="B58" s="3"/>
      <c r="C58" s="3"/>
      <c r="D58" s="3"/>
      <c r="E58" s="3"/>
      <c r="F58" s="3"/>
    </row>
    <row r="59" customFormat="false" ht="18" hidden="false" customHeight="true" outlineLevel="0" collapsed="false">
      <c r="A59" s="14" t="s">
        <v>188</v>
      </c>
      <c r="B59" s="14"/>
      <c r="C59" s="14"/>
      <c r="D59" s="14"/>
      <c r="E59" s="14"/>
      <c r="F59" s="14"/>
    </row>
    <row r="60" customFormat="false" ht="24" hidden="false" customHeight="true" outlineLevel="0" collapsed="false">
      <c r="A60" s="7" t="s">
        <v>189</v>
      </c>
      <c r="B60" s="7" t="s">
        <v>190</v>
      </c>
      <c r="C60" s="7" t="s">
        <v>130</v>
      </c>
      <c r="D60" s="7" t="s">
        <v>191</v>
      </c>
      <c r="E60" s="7" t="s">
        <v>192</v>
      </c>
      <c r="F60" s="7" t="s">
        <v>193</v>
      </c>
    </row>
    <row r="61" customFormat="false" ht="43.5" hidden="false" customHeight="true" outlineLevel="0" collapsed="false">
      <c r="A61" s="9" t="s">
        <v>194</v>
      </c>
      <c r="B61" s="5" t="s">
        <v>195</v>
      </c>
      <c r="C61" s="10" t="s">
        <v>160</v>
      </c>
      <c r="D61" s="10" t="s">
        <v>196</v>
      </c>
      <c r="E61" s="5" t="s">
        <v>197</v>
      </c>
      <c r="F61" s="10" t="s">
        <v>198</v>
      </c>
    </row>
    <row r="62" customFormat="false" ht="43.5" hidden="false" customHeight="true" outlineLevel="0" collapsed="false">
      <c r="A62" s="11" t="s">
        <v>199</v>
      </c>
      <c r="B62" s="12" t="s">
        <v>200</v>
      </c>
      <c r="C62" s="13" t="s">
        <v>201</v>
      </c>
      <c r="D62" s="13" t="s">
        <v>196</v>
      </c>
      <c r="E62" s="12" t="s">
        <v>202</v>
      </c>
      <c r="F62" s="13" t="s">
        <v>198</v>
      </c>
    </row>
    <row r="63" customFormat="false" ht="43.5" hidden="false" customHeight="true" outlineLevel="0" collapsed="false">
      <c r="A63" s="9" t="s">
        <v>203</v>
      </c>
      <c r="B63" s="5" t="s">
        <v>204</v>
      </c>
      <c r="C63" s="10" t="s">
        <v>142</v>
      </c>
      <c r="D63" s="10" t="s">
        <v>196</v>
      </c>
      <c r="E63" s="5" t="s">
        <v>205</v>
      </c>
      <c r="F63" s="10" t="s">
        <v>198</v>
      </c>
    </row>
    <row r="64" customFormat="false" ht="43.5" hidden="false" customHeight="true" outlineLevel="0" collapsed="false">
      <c r="A64" s="11" t="s">
        <v>206</v>
      </c>
      <c r="B64" s="12" t="s">
        <v>207</v>
      </c>
      <c r="C64" s="13" t="s">
        <v>160</v>
      </c>
      <c r="D64" s="13" t="s">
        <v>196</v>
      </c>
      <c r="E64" s="12" t="s">
        <v>208</v>
      </c>
      <c r="F64" s="13" t="s">
        <v>198</v>
      </c>
    </row>
    <row r="65" customFormat="false" ht="43.5" hidden="false" customHeight="true" outlineLevel="0" collapsed="false">
      <c r="A65" s="9" t="s">
        <v>209</v>
      </c>
      <c r="B65" s="5" t="s">
        <v>210</v>
      </c>
      <c r="C65" s="10" t="s">
        <v>166</v>
      </c>
      <c r="D65" s="10" t="s">
        <v>196</v>
      </c>
      <c r="E65" s="5" t="s">
        <v>211</v>
      </c>
      <c r="F65" s="10" t="s">
        <v>198</v>
      </c>
    </row>
    <row r="66" customFormat="false" ht="43.5" hidden="false" customHeight="true" outlineLevel="0" collapsed="false">
      <c r="A66" s="11" t="s">
        <v>212</v>
      </c>
      <c r="B66" s="12" t="s">
        <v>213</v>
      </c>
      <c r="C66" s="13" t="s">
        <v>214</v>
      </c>
      <c r="D66" s="13" t="s">
        <v>196</v>
      </c>
      <c r="E66" s="12" t="s">
        <v>215</v>
      </c>
      <c r="F66" s="13" t="s">
        <v>198</v>
      </c>
    </row>
    <row r="67" customFormat="false" ht="19.5" hidden="false" customHeight="true" outlineLevel="0" collapsed="false">
      <c r="A67" s="3" t="s">
        <v>216</v>
      </c>
      <c r="B67" s="3"/>
      <c r="C67" s="3"/>
      <c r="D67" s="3"/>
      <c r="E67" s="3"/>
      <c r="F67" s="3"/>
    </row>
    <row r="68" customFormat="false" ht="24" hidden="false" customHeight="true" outlineLevel="0" collapsed="false">
      <c r="A68" s="14" t="s">
        <v>217</v>
      </c>
      <c r="B68" s="14"/>
      <c r="C68" s="14"/>
      <c r="D68" s="14"/>
      <c r="E68" s="14"/>
      <c r="F68" s="14"/>
    </row>
    <row r="69" customFormat="false" ht="15" hidden="false" customHeight="true" outlineLevel="0" collapsed="false">
      <c r="A69" s="8" t="s">
        <v>218</v>
      </c>
      <c r="B69" s="8"/>
      <c r="C69" s="8" t="s">
        <v>219</v>
      </c>
      <c r="D69" s="8"/>
      <c r="E69" s="7" t="s">
        <v>220</v>
      </c>
      <c r="F69" s="7"/>
    </row>
    <row r="70" customFormat="false" ht="18" hidden="false" customHeight="true" outlineLevel="0" collapsed="false">
      <c r="A70" s="15" t="s">
        <v>221</v>
      </c>
      <c r="B70" s="15"/>
      <c r="C70" s="15"/>
      <c r="D70" s="15"/>
      <c r="E70" s="15"/>
      <c r="F70" s="15"/>
    </row>
    <row r="71" customFormat="false" ht="31.5" hidden="false" customHeight="true" outlineLevel="0" collapsed="false">
      <c r="A71" s="5" t="s">
        <v>222</v>
      </c>
      <c r="B71" s="5"/>
      <c r="C71" s="5" t="s">
        <v>223</v>
      </c>
      <c r="D71" s="5"/>
      <c r="E71" s="10" t="s">
        <v>224</v>
      </c>
      <c r="F71" s="10"/>
    </row>
    <row r="72" customFormat="false" ht="31.5" hidden="false" customHeight="true" outlineLevel="0" collapsed="false">
      <c r="A72" s="12" t="s">
        <v>225</v>
      </c>
      <c r="B72" s="12"/>
      <c r="C72" s="12" t="s">
        <v>226</v>
      </c>
      <c r="D72" s="12"/>
      <c r="E72" s="13" t="s">
        <v>227</v>
      </c>
      <c r="F72" s="13"/>
    </row>
    <row r="73" customFormat="false" ht="18" hidden="false" customHeight="true" outlineLevel="0" collapsed="false">
      <c r="A73" s="15" t="s">
        <v>228</v>
      </c>
      <c r="B73" s="15"/>
      <c r="C73" s="15"/>
      <c r="D73" s="15"/>
      <c r="E73" s="15"/>
      <c r="F73" s="15"/>
    </row>
    <row r="74" customFormat="false" ht="31.5" hidden="false" customHeight="true" outlineLevel="0" collapsed="false">
      <c r="A74" s="5" t="s">
        <v>229</v>
      </c>
      <c r="B74" s="5"/>
      <c r="C74" s="5" t="s">
        <v>230</v>
      </c>
      <c r="D74" s="5"/>
      <c r="E74" s="10" t="s">
        <v>231</v>
      </c>
      <c r="F74" s="10"/>
    </row>
    <row r="75" customFormat="false" ht="31.5" hidden="false" customHeight="true" outlineLevel="0" collapsed="false">
      <c r="A75" s="12" t="s">
        <v>232</v>
      </c>
      <c r="B75" s="12"/>
      <c r="C75" s="12" t="s">
        <v>233</v>
      </c>
      <c r="D75" s="12"/>
      <c r="E75" s="13" t="s">
        <v>231</v>
      </c>
      <c r="F75" s="13"/>
    </row>
    <row r="76" customFormat="false" ht="18" hidden="false" customHeight="true" outlineLevel="0" collapsed="false">
      <c r="A76" s="15" t="s">
        <v>234</v>
      </c>
      <c r="B76" s="15"/>
      <c r="C76" s="15"/>
      <c r="D76" s="15"/>
      <c r="E76" s="15"/>
      <c r="F76" s="15"/>
    </row>
    <row r="77" customFormat="false" ht="31.5" hidden="false" customHeight="true" outlineLevel="0" collapsed="false">
      <c r="A77" s="5" t="s">
        <v>235</v>
      </c>
      <c r="B77" s="5"/>
      <c r="C77" s="5" t="s">
        <v>236</v>
      </c>
      <c r="D77" s="5"/>
      <c r="E77" s="10" t="s">
        <v>237</v>
      </c>
      <c r="F77" s="10"/>
    </row>
    <row r="78" customFormat="false" ht="31.5" hidden="false" customHeight="true" outlineLevel="0" collapsed="false">
      <c r="A78" s="12" t="s">
        <v>238</v>
      </c>
      <c r="B78" s="12"/>
      <c r="C78" s="12" t="s">
        <v>239</v>
      </c>
      <c r="D78" s="12"/>
      <c r="E78" s="13" t="s">
        <v>240</v>
      </c>
      <c r="F78" s="13"/>
    </row>
    <row r="79" customFormat="false" ht="19.5" hidden="false" customHeight="true" outlineLevel="0" collapsed="false">
      <c r="A79" s="3" t="s">
        <v>241</v>
      </c>
      <c r="B79" s="3"/>
      <c r="C79" s="3"/>
      <c r="D79" s="3"/>
      <c r="E79" s="3"/>
      <c r="F79" s="3"/>
    </row>
    <row r="80" customFormat="false" ht="24" hidden="false" customHeight="true" outlineLevel="0" collapsed="false">
      <c r="A80" s="7" t="s">
        <v>242</v>
      </c>
      <c r="B80" s="7" t="s">
        <v>243</v>
      </c>
      <c r="C80" s="7" t="s">
        <v>244</v>
      </c>
      <c r="D80" s="7" t="s">
        <v>245</v>
      </c>
      <c r="E80" s="7" t="s">
        <v>246</v>
      </c>
      <c r="F80" s="7" t="s">
        <v>247</v>
      </c>
    </row>
    <row r="81" customFormat="false" ht="39.75" hidden="false" customHeight="true" outlineLevel="0" collapsed="false">
      <c r="A81" s="9" t="s">
        <v>248</v>
      </c>
      <c r="B81" s="5" t="s">
        <v>249</v>
      </c>
      <c r="C81" s="5" t="s">
        <v>250</v>
      </c>
      <c r="D81" s="5" t="s">
        <v>251</v>
      </c>
      <c r="E81" s="10" t="s">
        <v>231</v>
      </c>
      <c r="F81" s="10" t="s">
        <v>252</v>
      </c>
    </row>
    <row r="82" customFormat="false" ht="39.75" hidden="false" customHeight="true" outlineLevel="0" collapsed="false">
      <c r="A82" s="11" t="s">
        <v>253</v>
      </c>
      <c r="B82" s="12" t="s">
        <v>254</v>
      </c>
      <c r="C82" s="12" t="s">
        <v>255</v>
      </c>
      <c r="D82" s="12" t="s">
        <v>256</v>
      </c>
      <c r="E82" s="13" t="s">
        <v>231</v>
      </c>
      <c r="F82" s="13" t="s">
        <v>257</v>
      </c>
    </row>
    <row r="83" customFormat="false" ht="39.75" hidden="false" customHeight="true" outlineLevel="0" collapsed="false">
      <c r="A83" s="9" t="s">
        <v>258</v>
      </c>
      <c r="B83" s="5" t="s">
        <v>259</v>
      </c>
      <c r="C83" s="5" t="s">
        <v>260</v>
      </c>
      <c r="D83" s="5" t="s">
        <v>261</v>
      </c>
      <c r="E83" s="10" t="s">
        <v>262</v>
      </c>
      <c r="F83" s="10" t="s">
        <v>263</v>
      </c>
    </row>
    <row r="84" customFormat="false" ht="39.75" hidden="false" customHeight="true" outlineLevel="0" collapsed="false">
      <c r="A84" s="11" t="s">
        <v>264</v>
      </c>
      <c r="B84" s="12" t="s">
        <v>265</v>
      </c>
      <c r="C84" s="12" t="s">
        <v>266</v>
      </c>
      <c r="D84" s="12" t="s">
        <v>267</v>
      </c>
      <c r="E84" s="13" t="s">
        <v>268</v>
      </c>
      <c r="F84" s="13" t="s">
        <v>269</v>
      </c>
    </row>
    <row r="85" customFormat="false" ht="19.5" hidden="false" customHeight="true" outlineLevel="0" collapsed="false">
      <c r="A85" s="3" t="s">
        <v>270</v>
      </c>
      <c r="B85" s="3"/>
      <c r="C85" s="3"/>
      <c r="D85" s="3"/>
      <c r="E85" s="3"/>
      <c r="F85" s="3"/>
    </row>
    <row r="86" customFormat="false" ht="18" hidden="false" customHeight="true" outlineLevel="0" collapsed="false">
      <c r="A86" s="4" t="s">
        <v>271</v>
      </c>
      <c r="B86" s="4"/>
      <c r="C86" s="4"/>
      <c r="D86" s="4"/>
      <c r="E86" s="4"/>
      <c r="F86" s="4"/>
    </row>
    <row r="87" customFormat="false" ht="15" hidden="false" customHeight="true" outlineLevel="0" collapsed="false">
      <c r="A87" s="4" t="s">
        <v>272</v>
      </c>
      <c r="B87" s="4"/>
      <c r="C87" s="4" t="s">
        <v>273</v>
      </c>
      <c r="D87" s="4"/>
      <c r="E87" s="4" t="s">
        <v>274</v>
      </c>
      <c r="F87" s="4"/>
    </row>
    <row r="88" customFormat="false" ht="54" hidden="false" customHeight="true" outlineLevel="0" collapsed="false">
      <c r="A88" s="5" t="s">
        <v>275</v>
      </c>
      <c r="B88" s="5"/>
      <c r="C88" s="5" t="s">
        <v>276</v>
      </c>
      <c r="D88" s="5"/>
      <c r="E88" s="5" t="s">
        <v>277</v>
      </c>
      <c r="F88" s="5"/>
    </row>
    <row r="89" customFormat="false" ht="18" hidden="false" customHeight="true" outlineLevel="0" collapsed="false">
      <c r="A89" s="16" t="s">
        <v>278</v>
      </c>
      <c r="B89" s="16"/>
      <c r="C89" s="16"/>
      <c r="D89" s="16"/>
      <c r="E89" s="16"/>
      <c r="F89" s="16"/>
    </row>
  </sheetData>
  <mergeCells count="78">
    <mergeCell ref="A1:F1"/>
    <mergeCell ref="A2:F2"/>
    <mergeCell ref="A3:F3"/>
    <mergeCell ref="B4:F4"/>
    <mergeCell ref="B5:F5"/>
    <mergeCell ref="B6:F6"/>
    <mergeCell ref="B7:F7"/>
    <mergeCell ref="B8:F8"/>
    <mergeCell ref="B9:F9"/>
    <mergeCell ref="B10:F10"/>
    <mergeCell ref="B11:F11"/>
    <mergeCell ref="B12:F12"/>
    <mergeCell ref="B13:F13"/>
    <mergeCell ref="A14:F14"/>
    <mergeCell ref="A15:F15"/>
    <mergeCell ref="A16:F16"/>
    <mergeCell ref="A18:F18"/>
    <mergeCell ref="A22:F22"/>
    <mergeCell ref="A26:F26"/>
    <mergeCell ref="A30:F30"/>
    <mergeCell ref="A34:F34"/>
    <mergeCell ref="A37:F37"/>
    <mergeCell ref="A41:F41"/>
    <mergeCell ref="A49:F49"/>
    <mergeCell ref="A50:C50"/>
    <mergeCell ref="D50:F50"/>
    <mergeCell ref="A51:C51"/>
    <mergeCell ref="D51:F51"/>
    <mergeCell ref="A52:C52"/>
    <mergeCell ref="D52:F52"/>
    <mergeCell ref="A53:C53"/>
    <mergeCell ref="D53:F53"/>
    <mergeCell ref="A54:C54"/>
    <mergeCell ref="D54:F54"/>
    <mergeCell ref="A55:C55"/>
    <mergeCell ref="D55:F55"/>
    <mergeCell ref="A56:C56"/>
    <mergeCell ref="D56:F56"/>
    <mergeCell ref="A57:C57"/>
    <mergeCell ref="D57:F57"/>
    <mergeCell ref="A58:F58"/>
    <mergeCell ref="A59:F59"/>
    <mergeCell ref="A67:F67"/>
    <mergeCell ref="A68:F68"/>
    <mergeCell ref="A69:B69"/>
    <mergeCell ref="C69:D69"/>
    <mergeCell ref="E69:F69"/>
    <mergeCell ref="A70:F70"/>
    <mergeCell ref="A71:B71"/>
    <mergeCell ref="C71:D71"/>
    <mergeCell ref="E71:F71"/>
    <mergeCell ref="A72:B72"/>
    <mergeCell ref="C72:D72"/>
    <mergeCell ref="E72:F72"/>
    <mergeCell ref="A73:F73"/>
    <mergeCell ref="A74:B74"/>
    <mergeCell ref="C74:D74"/>
    <mergeCell ref="E74:F74"/>
    <mergeCell ref="A75:B75"/>
    <mergeCell ref="C75:D75"/>
    <mergeCell ref="E75:F75"/>
    <mergeCell ref="A76:F76"/>
    <mergeCell ref="A77:B77"/>
    <mergeCell ref="C77:D77"/>
    <mergeCell ref="E77:F77"/>
    <mergeCell ref="A78:B78"/>
    <mergeCell ref="C78:D78"/>
    <mergeCell ref="E78:F78"/>
    <mergeCell ref="A79:F79"/>
    <mergeCell ref="A85:F85"/>
    <mergeCell ref="A86:F86"/>
    <mergeCell ref="A87:B87"/>
    <mergeCell ref="C87:D87"/>
    <mergeCell ref="E87:F87"/>
    <mergeCell ref="A88:B88"/>
    <mergeCell ref="C88:D88"/>
    <mergeCell ref="E88:F88"/>
    <mergeCell ref="A89:F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22"/>
    <col collapsed="false" customWidth="true" hidden="false" outlineLevel="0" max="5" min="5" style="0" width="30"/>
    <col collapsed="false" customWidth="true" hidden="false" outlineLevel="0" max="6" min="6" style="0" width="22"/>
  </cols>
  <sheetData>
    <row r="1" customFormat="false" ht="37.5" hidden="false" customHeight="true" outlineLevel="0" collapsed="false">
      <c r="A1" s="1" t="s">
        <v>279</v>
      </c>
      <c r="B1" s="1"/>
      <c r="C1" s="1"/>
      <c r="D1" s="1"/>
      <c r="E1" s="1"/>
      <c r="F1" s="1"/>
    </row>
    <row r="2" customFormat="false" ht="21.75" hidden="false" customHeight="true" outlineLevel="0" collapsed="false">
      <c r="A2" s="2" t="s">
        <v>280</v>
      </c>
      <c r="B2" s="2"/>
      <c r="C2" s="2"/>
      <c r="D2" s="2"/>
      <c r="E2" s="2"/>
      <c r="F2" s="2"/>
    </row>
    <row r="3" customFormat="false" ht="19.5" hidden="false" customHeight="true" outlineLevel="0" collapsed="false">
      <c r="A3" s="3" t="s">
        <v>281</v>
      </c>
      <c r="B3" s="3"/>
      <c r="C3" s="3"/>
      <c r="D3" s="3"/>
      <c r="E3" s="3"/>
      <c r="F3" s="3"/>
    </row>
    <row r="4" customFormat="false" ht="24" hidden="false" customHeight="true" outlineLevel="0" collapsed="false">
      <c r="A4" s="7" t="s">
        <v>26</v>
      </c>
      <c r="B4" s="7" t="s">
        <v>282</v>
      </c>
      <c r="C4" s="7" t="s">
        <v>130</v>
      </c>
      <c r="D4" s="7" t="s">
        <v>191</v>
      </c>
      <c r="E4" s="7" t="s">
        <v>283</v>
      </c>
      <c r="F4" s="7" t="s">
        <v>284</v>
      </c>
    </row>
    <row r="5" customFormat="false" ht="21.75" hidden="false" customHeight="true" outlineLevel="0" collapsed="false">
      <c r="A5" s="9" t="s">
        <v>194</v>
      </c>
      <c r="B5" s="5" t="s">
        <v>195</v>
      </c>
      <c r="C5" s="10" t="s">
        <v>160</v>
      </c>
      <c r="D5" s="10" t="s">
        <v>196</v>
      </c>
      <c r="E5" s="10" t="s">
        <v>196</v>
      </c>
      <c r="F5" s="10" t="s">
        <v>198</v>
      </c>
    </row>
    <row r="6" customFormat="false" ht="21.75" hidden="false" customHeight="true" outlineLevel="0" collapsed="false">
      <c r="A6" s="11" t="s">
        <v>199</v>
      </c>
      <c r="B6" s="12" t="s">
        <v>200</v>
      </c>
      <c r="C6" s="13" t="s">
        <v>201</v>
      </c>
      <c r="D6" s="13" t="s">
        <v>196</v>
      </c>
      <c r="E6" s="13" t="s">
        <v>285</v>
      </c>
      <c r="F6" s="13" t="s">
        <v>198</v>
      </c>
    </row>
    <row r="7" customFormat="false" ht="21.75" hidden="false" customHeight="true" outlineLevel="0" collapsed="false">
      <c r="A7" s="9" t="s">
        <v>203</v>
      </c>
      <c r="B7" s="5" t="s">
        <v>204</v>
      </c>
      <c r="C7" s="10" t="s">
        <v>142</v>
      </c>
      <c r="D7" s="10" t="s">
        <v>196</v>
      </c>
      <c r="E7" s="10" t="s">
        <v>285</v>
      </c>
      <c r="F7" s="10" t="s">
        <v>198</v>
      </c>
    </row>
    <row r="8" customFormat="false" ht="21.75" hidden="false" customHeight="true" outlineLevel="0" collapsed="false">
      <c r="A8" s="11" t="s">
        <v>206</v>
      </c>
      <c r="B8" s="12" t="s">
        <v>207</v>
      </c>
      <c r="C8" s="13" t="s">
        <v>160</v>
      </c>
      <c r="D8" s="13" t="s">
        <v>196</v>
      </c>
      <c r="E8" s="13" t="s">
        <v>196</v>
      </c>
      <c r="F8" s="13" t="s">
        <v>198</v>
      </c>
    </row>
    <row r="9" customFormat="false" ht="21.75" hidden="false" customHeight="true" outlineLevel="0" collapsed="false">
      <c r="A9" s="9" t="s">
        <v>209</v>
      </c>
      <c r="B9" s="5" t="s">
        <v>210</v>
      </c>
      <c r="C9" s="10" t="s">
        <v>166</v>
      </c>
      <c r="D9" s="10" t="s">
        <v>196</v>
      </c>
      <c r="E9" s="10" t="s">
        <v>196</v>
      </c>
      <c r="F9" s="10" t="s">
        <v>198</v>
      </c>
    </row>
    <row r="10" customFormat="false" ht="21.75" hidden="false" customHeight="true" outlineLevel="0" collapsed="false">
      <c r="A10" s="11" t="s">
        <v>212</v>
      </c>
      <c r="B10" s="12" t="s">
        <v>213</v>
      </c>
      <c r="C10" s="13" t="s">
        <v>214</v>
      </c>
      <c r="D10" s="13" t="s">
        <v>196</v>
      </c>
      <c r="E10" s="13" t="s">
        <v>196</v>
      </c>
      <c r="F10" s="13" t="s">
        <v>198</v>
      </c>
    </row>
    <row r="11" customFormat="false" ht="19.5" hidden="false" customHeight="true" outlineLevel="0" collapsed="false">
      <c r="A11" s="10"/>
      <c r="B11" s="9" t="s">
        <v>286</v>
      </c>
      <c r="C11" s="10" t="s">
        <v>287</v>
      </c>
      <c r="D11" s="10" t="s">
        <v>288</v>
      </c>
      <c r="E11" s="10" t="s">
        <v>289</v>
      </c>
      <c r="F11" s="10" t="s">
        <v>290</v>
      </c>
    </row>
    <row r="12" customFormat="false" ht="19.5" hidden="false" customHeight="true" outlineLevel="0" collapsed="false">
      <c r="A12" s="3" t="s">
        <v>291</v>
      </c>
      <c r="B12" s="3"/>
      <c r="C12" s="3"/>
      <c r="D12" s="3"/>
      <c r="E12" s="3"/>
      <c r="F12" s="3"/>
    </row>
    <row r="13" customFormat="false" ht="24" hidden="false" customHeight="true" outlineLevel="0" collapsed="false">
      <c r="A13" s="7" t="s">
        <v>26</v>
      </c>
      <c r="B13" s="7" t="s">
        <v>292</v>
      </c>
      <c r="C13" s="7" t="s">
        <v>293</v>
      </c>
      <c r="D13" s="7" t="s">
        <v>294</v>
      </c>
      <c r="E13" s="7" t="s">
        <v>295</v>
      </c>
      <c r="F13" s="7" t="s">
        <v>296</v>
      </c>
    </row>
    <row r="14" customFormat="false" ht="18" hidden="false" customHeight="true" outlineLevel="0" collapsed="false">
      <c r="A14" s="8" t="s">
        <v>297</v>
      </c>
      <c r="B14" s="8"/>
      <c r="C14" s="8"/>
      <c r="D14" s="8"/>
      <c r="E14" s="8"/>
      <c r="F14" s="8"/>
    </row>
    <row r="15" customFormat="false" ht="57.75" hidden="false" customHeight="true" outlineLevel="0" collapsed="false">
      <c r="A15" s="9" t="s">
        <v>33</v>
      </c>
      <c r="B15" s="17" t="s">
        <v>298</v>
      </c>
      <c r="C15" s="18" t="s">
        <v>299</v>
      </c>
      <c r="D15" s="19" t="s">
        <v>300</v>
      </c>
      <c r="E15" s="20" t="s">
        <v>301</v>
      </c>
      <c r="F15" s="21" t="s">
        <v>302</v>
      </c>
    </row>
    <row r="16" customFormat="false" ht="57.75" hidden="false" customHeight="true" outlineLevel="0" collapsed="false">
      <c r="A16" s="11" t="s">
        <v>39</v>
      </c>
      <c r="B16" s="22" t="s">
        <v>303</v>
      </c>
      <c r="C16" s="18" t="s">
        <v>304</v>
      </c>
      <c r="D16" s="19" t="s">
        <v>305</v>
      </c>
      <c r="E16" s="20" t="s">
        <v>306</v>
      </c>
      <c r="F16" s="21" t="s">
        <v>307</v>
      </c>
    </row>
    <row r="17" customFormat="false" ht="57.75" hidden="false" customHeight="true" outlineLevel="0" collapsed="false">
      <c r="A17" s="9" t="s">
        <v>44</v>
      </c>
      <c r="B17" s="17" t="s">
        <v>308</v>
      </c>
      <c r="C17" s="18" t="s">
        <v>309</v>
      </c>
      <c r="D17" s="19" t="s">
        <v>310</v>
      </c>
      <c r="E17" s="20" t="s">
        <v>311</v>
      </c>
      <c r="F17" s="21" t="s">
        <v>312</v>
      </c>
    </row>
    <row r="18" customFormat="false" ht="18" hidden="false" customHeight="true" outlineLevel="0" collapsed="false">
      <c r="A18" s="8" t="s">
        <v>313</v>
      </c>
      <c r="B18" s="8"/>
      <c r="C18" s="8"/>
      <c r="D18" s="8"/>
      <c r="E18" s="8"/>
      <c r="F18" s="8"/>
    </row>
    <row r="19" customFormat="false" ht="57.75" hidden="false" customHeight="true" outlineLevel="0" collapsed="false">
      <c r="A19" s="9" t="s">
        <v>51</v>
      </c>
      <c r="B19" s="17" t="s">
        <v>314</v>
      </c>
      <c r="C19" s="18" t="s">
        <v>315</v>
      </c>
      <c r="D19" s="19" t="s">
        <v>316</v>
      </c>
      <c r="E19" s="20" t="s">
        <v>317</v>
      </c>
      <c r="F19" s="21" t="s">
        <v>318</v>
      </c>
    </row>
    <row r="20" customFormat="false" ht="57.75" hidden="false" customHeight="true" outlineLevel="0" collapsed="false">
      <c r="A20" s="11" t="s">
        <v>57</v>
      </c>
      <c r="B20" s="22" t="s">
        <v>319</v>
      </c>
      <c r="C20" s="18" t="s">
        <v>320</v>
      </c>
      <c r="D20" s="19" t="s">
        <v>321</v>
      </c>
      <c r="E20" s="20" t="s">
        <v>322</v>
      </c>
      <c r="F20" s="21" t="s">
        <v>323</v>
      </c>
    </row>
    <row r="21" customFormat="false" ht="57.75" hidden="false" customHeight="true" outlineLevel="0" collapsed="false">
      <c r="A21" s="9" t="s">
        <v>62</v>
      </c>
      <c r="B21" s="17" t="s">
        <v>324</v>
      </c>
      <c r="C21" s="18" t="s">
        <v>325</v>
      </c>
      <c r="D21" s="19" t="s">
        <v>326</v>
      </c>
      <c r="E21" s="20" t="s">
        <v>327</v>
      </c>
      <c r="F21" s="21" t="s">
        <v>328</v>
      </c>
    </row>
    <row r="22" customFormat="false" ht="18" hidden="false" customHeight="true" outlineLevel="0" collapsed="false">
      <c r="A22" s="8" t="s">
        <v>329</v>
      </c>
      <c r="B22" s="8"/>
      <c r="C22" s="8"/>
      <c r="D22" s="8"/>
      <c r="E22" s="8"/>
      <c r="F22" s="8"/>
    </row>
    <row r="23" customFormat="false" ht="57.75" hidden="false" customHeight="true" outlineLevel="0" collapsed="false">
      <c r="A23" s="9" t="s">
        <v>68</v>
      </c>
      <c r="B23" s="17" t="s">
        <v>330</v>
      </c>
      <c r="C23" s="18" t="s">
        <v>331</v>
      </c>
      <c r="D23" s="19" t="s">
        <v>332</v>
      </c>
      <c r="E23" s="20" t="s">
        <v>333</v>
      </c>
      <c r="F23" s="21" t="s">
        <v>334</v>
      </c>
    </row>
    <row r="24" customFormat="false" ht="57.75" hidden="false" customHeight="true" outlineLevel="0" collapsed="false">
      <c r="A24" s="11" t="s">
        <v>74</v>
      </c>
      <c r="B24" s="22" t="s">
        <v>335</v>
      </c>
      <c r="C24" s="18" t="s">
        <v>336</v>
      </c>
      <c r="D24" s="19" t="s">
        <v>337</v>
      </c>
      <c r="E24" s="20" t="s">
        <v>338</v>
      </c>
      <c r="F24" s="21" t="s">
        <v>339</v>
      </c>
    </row>
    <row r="25" customFormat="false" ht="57.75" hidden="false" customHeight="true" outlineLevel="0" collapsed="false">
      <c r="A25" s="9" t="s">
        <v>79</v>
      </c>
      <c r="B25" s="17" t="s">
        <v>340</v>
      </c>
      <c r="C25" s="18" t="s">
        <v>341</v>
      </c>
      <c r="D25" s="19" t="s">
        <v>342</v>
      </c>
      <c r="E25" s="20" t="s">
        <v>343</v>
      </c>
      <c r="F25" s="21" t="s">
        <v>344</v>
      </c>
    </row>
    <row r="26" customFormat="false" ht="18" hidden="false" customHeight="true" outlineLevel="0" collapsed="false">
      <c r="A26" s="8" t="s">
        <v>345</v>
      </c>
      <c r="B26" s="8"/>
      <c r="C26" s="8"/>
      <c r="D26" s="8"/>
      <c r="E26" s="8"/>
      <c r="F26" s="8"/>
    </row>
    <row r="27" customFormat="false" ht="57.75" hidden="false" customHeight="true" outlineLevel="0" collapsed="false">
      <c r="A27" s="9" t="s">
        <v>85</v>
      </c>
      <c r="B27" s="17" t="s">
        <v>346</v>
      </c>
      <c r="C27" s="18" t="s">
        <v>347</v>
      </c>
      <c r="D27" s="19" t="s">
        <v>348</v>
      </c>
      <c r="E27" s="20" t="s">
        <v>349</v>
      </c>
      <c r="F27" s="21" t="s">
        <v>350</v>
      </c>
    </row>
    <row r="28" customFormat="false" ht="57.75" hidden="false" customHeight="true" outlineLevel="0" collapsed="false">
      <c r="A28" s="11" t="s">
        <v>90</v>
      </c>
      <c r="B28" s="22" t="s">
        <v>351</v>
      </c>
      <c r="C28" s="18" t="s">
        <v>352</v>
      </c>
      <c r="D28" s="19" t="s">
        <v>353</v>
      </c>
      <c r="E28" s="20" t="s">
        <v>354</v>
      </c>
      <c r="F28" s="21" t="s">
        <v>355</v>
      </c>
    </row>
    <row r="29" customFormat="false" ht="57.75" hidden="false" customHeight="true" outlineLevel="0" collapsed="false">
      <c r="A29" s="9" t="s">
        <v>95</v>
      </c>
      <c r="B29" s="17" t="s">
        <v>356</v>
      </c>
      <c r="C29" s="18" t="s">
        <v>357</v>
      </c>
      <c r="D29" s="19" t="s">
        <v>358</v>
      </c>
      <c r="E29" s="20" t="s">
        <v>359</v>
      </c>
      <c r="F29" s="21" t="s">
        <v>360</v>
      </c>
    </row>
    <row r="30" customFormat="false" ht="18" hidden="false" customHeight="true" outlineLevel="0" collapsed="false">
      <c r="A30" s="8" t="s">
        <v>361</v>
      </c>
      <c r="B30" s="8"/>
      <c r="C30" s="8"/>
      <c r="D30" s="8"/>
      <c r="E30" s="8"/>
      <c r="F30" s="8"/>
    </row>
    <row r="31" customFormat="false" ht="57.75" hidden="false" customHeight="true" outlineLevel="0" collapsed="false">
      <c r="A31" s="9" t="s">
        <v>102</v>
      </c>
      <c r="B31" s="17" t="s">
        <v>362</v>
      </c>
      <c r="C31" s="18" t="s">
        <v>363</v>
      </c>
      <c r="D31" s="19" t="s">
        <v>364</v>
      </c>
      <c r="E31" s="20" t="s">
        <v>365</v>
      </c>
      <c r="F31" s="21" t="s">
        <v>366</v>
      </c>
    </row>
    <row r="32" customFormat="false" ht="57.75" hidden="false" customHeight="true" outlineLevel="0" collapsed="false">
      <c r="A32" s="11" t="s">
        <v>107</v>
      </c>
      <c r="B32" s="22" t="s">
        <v>367</v>
      </c>
      <c r="C32" s="18" t="s">
        <v>368</v>
      </c>
      <c r="D32" s="19" t="s">
        <v>369</v>
      </c>
      <c r="E32" s="20" t="s">
        <v>370</v>
      </c>
      <c r="F32" s="21" t="s">
        <v>371</v>
      </c>
    </row>
    <row r="33" customFormat="false" ht="18" hidden="false" customHeight="true" outlineLevel="0" collapsed="false">
      <c r="A33" s="8" t="s">
        <v>372</v>
      </c>
      <c r="B33" s="8"/>
      <c r="C33" s="8"/>
      <c r="D33" s="8"/>
      <c r="E33" s="8"/>
      <c r="F33" s="8"/>
    </row>
    <row r="34" customFormat="false" ht="57.75" hidden="false" customHeight="true" outlineLevel="0" collapsed="false">
      <c r="A34" s="9" t="s">
        <v>113</v>
      </c>
      <c r="B34" s="17" t="s">
        <v>373</v>
      </c>
      <c r="C34" s="18" t="s">
        <v>374</v>
      </c>
      <c r="D34" s="19" t="s">
        <v>375</v>
      </c>
      <c r="E34" s="20" t="s">
        <v>376</v>
      </c>
      <c r="F34" s="21" t="s">
        <v>377</v>
      </c>
    </row>
    <row r="35" customFormat="false" ht="57.75" hidden="false" customHeight="true" outlineLevel="0" collapsed="false">
      <c r="A35" s="11" t="s">
        <v>118</v>
      </c>
      <c r="B35" s="22" t="s">
        <v>378</v>
      </c>
      <c r="C35" s="18" t="s">
        <v>379</v>
      </c>
      <c r="D35" s="19" t="s">
        <v>380</v>
      </c>
      <c r="E35" s="20" t="s">
        <v>381</v>
      </c>
      <c r="F35" s="21" t="s">
        <v>382</v>
      </c>
    </row>
  </sheetData>
  <mergeCells count="10">
    <mergeCell ref="A1:F1"/>
    <mergeCell ref="A2:F2"/>
    <mergeCell ref="A3:F3"/>
    <mergeCell ref="A12:F12"/>
    <mergeCell ref="A14:F14"/>
    <mergeCell ref="A18:F18"/>
    <mergeCell ref="A22:F22"/>
    <mergeCell ref="A26:F26"/>
    <mergeCell ref="A30:F30"/>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34"/>
    <col collapsed="false" customWidth="true" hidden="false" outlineLevel="0" max="4" min="4" style="0" width="12"/>
    <col collapsed="false" customWidth="true" hidden="false" outlineLevel="0" max="5" min="5" style="0" width="30"/>
  </cols>
  <sheetData>
    <row r="1" customFormat="false" ht="37.5" hidden="false" customHeight="true" outlineLevel="0" collapsed="false">
      <c r="A1" s="1" t="s">
        <v>383</v>
      </c>
      <c r="B1" s="1"/>
      <c r="C1" s="1"/>
      <c r="D1" s="1"/>
      <c r="E1" s="1"/>
    </row>
    <row r="2" customFormat="false" ht="21.75" hidden="false" customHeight="true" outlineLevel="0" collapsed="false">
      <c r="A2" s="2" t="s">
        <v>384</v>
      </c>
      <c r="B2" s="2"/>
      <c r="C2" s="2"/>
      <c r="D2" s="2"/>
      <c r="E2" s="2"/>
    </row>
    <row r="3" customFormat="false" ht="19.5" hidden="false" customHeight="true" outlineLevel="0" collapsed="false">
      <c r="A3" s="3" t="s">
        <v>385</v>
      </c>
      <c r="B3" s="3"/>
      <c r="C3" s="3"/>
      <c r="D3" s="3"/>
      <c r="E3" s="3"/>
    </row>
    <row r="4" customFormat="false" ht="18" hidden="false" customHeight="true" outlineLevel="0" collapsed="false">
      <c r="A4" s="5" t="s">
        <v>386</v>
      </c>
      <c r="B4" s="5"/>
      <c r="C4" s="5"/>
      <c r="D4" s="5"/>
      <c r="E4" s="5"/>
    </row>
    <row r="5" customFormat="false" ht="18" hidden="false" customHeight="true" outlineLevel="0" collapsed="false">
      <c r="A5" s="5" t="s">
        <v>387</v>
      </c>
      <c r="B5" s="5"/>
      <c r="C5" s="5"/>
      <c r="D5" s="5"/>
      <c r="E5" s="5"/>
    </row>
    <row r="6" customFormat="false" ht="18" hidden="false" customHeight="true" outlineLevel="0" collapsed="false">
      <c r="A6" s="5" t="s">
        <v>388</v>
      </c>
      <c r="B6" s="5"/>
      <c r="C6" s="5"/>
      <c r="D6" s="5"/>
      <c r="E6" s="5"/>
    </row>
    <row r="7" customFormat="false" ht="18" hidden="false" customHeight="true" outlineLevel="0" collapsed="false">
      <c r="A7" s="5" t="s">
        <v>389</v>
      </c>
      <c r="B7" s="5"/>
      <c r="C7" s="5"/>
      <c r="D7" s="5"/>
      <c r="E7" s="5"/>
    </row>
    <row r="8" customFormat="false" ht="19.5" hidden="false" customHeight="true" outlineLevel="0" collapsed="false">
      <c r="A8" s="14" t="s">
        <v>390</v>
      </c>
      <c r="B8" s="14"/>
      <c r="C8" s="14"/>
      <c r="D8" s="14"/>
      <c r="E8" s="14"/>
    </row>
    <row r="9" customFormat="false" ht="24" hidden="false" customHeight="true" outlineLevel="0" collapsed="false">
      <c r="A9" s="7" t="s">
        <v>26</v>
      </c>
      <c r="B9" s="7" t="s">
        <v>391</v>
      </c>
      <c r="C9" s="7" t="s">
        <v>392</v>
      </c>
      <c r="D9" s="7" t="s">
        <v>393</v>
      </c>
      <c r="E9" s="7" t="s">
        <v>394</v>
      </c>
    </row>
    <row r="10" customFormat="false" ht="18" hidden="false" customHeight="true" outlineLevel="0" collapsed="false">
      <c r="A10" s="8" t="s">
        <v>395</v>
      </c>
      <c r="B10" s="8"/>
      <c r="C10" s="8"/>
      <c r="D10" s="8"/>
      <c r="E10" s="8"/>
    </row>
    <row r="11" customFormat="false" ht="30" hidden="false" customHeight="true" outlineLevel="0" collapsed="false">
      <c r="A11" s="9" t="s">
        <v>33</v>
      </c>
      <c r="B11" s="5" t="s">
        <v>396</v>
      </c>
      <c r="C11" s="5"/>
      <c r="D11" s="10"/>
      <c r="E11" s="5"/>
    </row>
    <row r="12" customFormat="false" ht="30" hidden="false" customHeight="true" outlineLevel="0" collapsed="false">
      <c r="A12" s="11" t="s">
        <v>39</v>
      </c>
      <c r="B12" s="12" t="s">
        <v>397</v>
      </c>
      <c r="C12" s="12"/>
      <c r="D12" s="13"/>
      <c r="E12" s="12"/>
    </row>
    <row r="13" customFormat="false" ht="30" hidden="false" customHeight="true" outlineLevel="0" collapsed="false">
      <c r="A13" s="9" t="s">
        <v>44</v>
      </c>
      <c r="B13" s="5" t="s">
        <v>398</v>
      </c>
      <c r="C13" s="5"/>
      <c r="D13" s="10"/>
      <c r="E13" s="5"/>
    </row>
    <row r="14" customFormat="false" ht="19.5" hidden="false" customHeight="true" outlineLevel="0" collapsed="false">
      <c r="A14" s="11" t="s">
        <v>399</v>
      </c>
      <c r="B14" s="22" t="s">
        <v>400</v>
      </c>
      <c r="C14" s="13"/>
      <c r="D14" s="11" t="s">
        <v>401</v>
      </c>
      <c r="E14" s="12"/>
    </row>
    <row r="15" customFormat="false" ht="18" hidden="false" customHeight="true" outlineLevel="0" collapsed="false">
      <c r="A15" s="8" t="s">
        <v>402</v>
      </c>
      <c r="B15" s="8"/>
      <c r="C15" s="8"/>
      <c r="D15" s="8"/>
      <c r="E15" s="8"/>
    </row>
    <row r="16" customFormat="false" ht="30" hidden="false" customHeight="true" outlineLevel="0" collapsed="false">
      <c r="A16" s="9" t="s">
        <v>51</v>
      </c>
      <c r="B16" s="5" t="s">
        <v>403</v>
      </c>
      <c r="C16" s="5"/>
      <c r="D16" s="10"/>
      <c r="E16" s="5"/>
    </row>
    <row r="17" customFormat="false" ht="30" hidden="false" customHeight="true" outlineLevel="0" collapsed="false">
      <c r="A17" s="11" t="s">
        <v>57</v>
      </c>
      <c r="B17" s="12" t="s">
        <v>404</v>
      </c>
      <c r="C17" s="12"/>
      <c r="D17" s="13"/>
      <c r="E17" s="12"/>
    </row>
    <row r="18" customFormat="false" ht="30" hidden="false" customHeight="true" outlineLevel="0" collapsed="false">
      <c r="A18" s="9" t="s">
        <v>62</v>
      </c>
      <c r="B18" s="5" t="s">
        <v>405</v>
      </c>
      <c r="C18" s="5"/>
      <c r="D18" s="10"/>
      <c r="E18" s="5"/>
    </row>
    <row r="19" customFormat="false" ht="19.5" hidden="false" customHeight="true" outlineLevel="0" collapsed="false">
      <c r="A19" s="11" t="s">
        <v>399</v>
      </c>
      <c r="B19" s="22" t="s">
        <v>406</v>
      </c>
      <c r="C19" s="13"/>
      <c r="D19" s="11" t="s">
        <v>401</v>
      </c>
      <c r="E19" s="12"/>
    </row>
    <row r="20" customFormat="false" ht="18" hidden="false" customHeight="true" outlineLevel="0" collapsed="false">
      <c r="A20" s="8" t="s">
        <v>407</v>
      </c>
      <c r="B20" s="8"/>
      <c r="C20" s="8"/>
      <c r="D20" s="8"/>
      <c r="E20" s="8"/>
    </row>
    <row r="21" customFormat="false" ht="30" hidden="false" customHeight="true" outlineLevel="0" collapsed="false">
      <c r="A21" s="9" t="s">
        <v>68</v>
      </c>
      <c r="B21" s="5" t="s">
        <v>408</v>
      </c>
      <c r="C21" s="5"/>
      <c r="D21" s="10"/>
      <c r="E21" s="5"/>
    </row>
    <row r="22" customFormat="false" ht="30" hidden="false" customHeight="true" outlineLevel="0" collapsed="false">
      <c r="A22" s="11" t="s">
        <v>74</v>
      </c>
      <c r="B22" s="12" t="s">
        <v>409</v>
      </c>
      <c r="C22" s="12"/>
      <c r="D22" s="13"/>
      <c r="E22" s="12"/>
    </row>
    <row r="23" customFormat="false" ht="30" hidden="false" customHeight="true" outlineLevel="0" collapsed="false">
      <c r="A23" s="9" t="s">
        <v>79</v>
      </c>
      <c r="B23" s="5" t="s">
        <v>410</v>
      </c>
      <c r="C23" s="5"/>
      <c r="D23" s="10"/>
      <c r="E23" s="5"/>
    </row>
    <row r="24" customFormat="false" ht="19.5" hidden="false" customHeight="true" outlineLevel="0" collapsed="false">
      <c r="A24" s="11" t="s">
        <v>399</v>
      </c>
      <c r="B24" s="22" t="s">
        <v>411</v>
      </c>
      <c r="C24" s="13"/>
      <c r="D24" s="11" t="s">
        <v>401</v>
      </c>
      <c r="E24" s="12"/>
    </row>
    <row r="25" customFormat="false" ht="18" hidden="false" customHeight="true" outlineLevel="0" collapsed="false">
      <c r="A25" s="8" t="s">
        <v>412</v>
      </c>
      <c r="B25" s="8"/>
      <c r="C25" s="8"/>
      <c r="D25" s="8"/>
      <c r="E25" s="8"/>
    </row>
    <row r="26" customFormat="false" ht="30" hidden="false" customHeight="true" outlineLevel="0" collapsed="false">
      <c r="A26" s="9" t="s">
        <v>85</v>
      </c>
      <c r="B26" s="5" t="s">
        <v>413</v>
      </c>
      <c r="C26" s="5"/>
      <c r="D26" s="10"/>
      <c r="E26" s="5"/>
    </row>
    <row r="27" customFormat="false" ht="30" hidden="false" customHeight="true" outlineLevel="0" collapsed="false">
      <c r="A27" s="11" t="s">
        <v>90</v>
      </c>
      <c r="B27" s="12" t="s">
        <v>414</v>
      </c>
      <c r="C27" s="12"/>
      <c r="D27" s="13"/>
      <c r="E27" s="12"/>
    </row>
    <row r="28" customFormat="false" ht="30" hidden="false" customHeight="true" outlineLevel="0" collapsed="false">
      <c r="A28" s="9" t="s">
        <v>95</v>
      </c>
      <c r="B28" s="5" t="s">
        <v>415</v>
      </c>
      <c r="C28" s="5"/>
      <c r="D28" s="10"/>
      <c r="E28" s="5"/>
    </row>
    <row r="29" customFormat="false" ht="19.5" hidden="false" customHeight="true" outlineLevel="0" collapsed="false">
      <c r="A29" s="11" t="s">
        <v>399</v>
      </c>
      <c r="B29" s="22" t="s">
        <v>416</v>
      </c>
      <c r="C29" s="13"/>
      <c r="D29" s="11" t="s">
        <v>401</v>
      </c>
      <c r="E29" s="12"/>
    </row>
    <row r="30" customFormat="false" ht="18" hidden="false" customHeight="true" outlineLevel="0" collapsed="false">
      <c r="A30" s="8" t="s">
        <v>417</v>
      </c>
      <c r="B30" s="8"/>
      <c r="C30" s="8"/>
      <c r="D30" s="8"/>
      <c r="E30" s="8"/>
    </row>
    <row r="31" customFormat="false" ht="30" hidden="false" customHeight="true" outlineLevel="0" collapsed="false">
      <c r="A31" s="9" t="s">
        <v>102</v>
      </c>
      <c r="B31" s="5" t="s">
        <v>418</v>
      </c>
      <c r="C31" s="5"/>
      <c r="D31" s="10"/>
      <c r="E31" s="5"/>
    </row>
    <row r="32" customFormat="false" ht="30" hidden="false" customHeight="true" outlineLevel="0" collapsed="false">
      <c r="A32" s="11" t="s">
        <v>107</v>
      </c>
      <c r="B32" s="12" t="s">
        <v>419</v>
      </c>
      <c r="C32" s="12"/>
      <c r="D32" s="13"/>
      <c r="E32" s="12"/>
    </row>
    <row r="33" customFormat="false" ht="19.5" hidden="false" customHeight="true" outlineLevel="0" collapsed="false">
      <c r="A33" s="11" t="s">
        <v>399</v>
      </c>
      <c r="B33" s="22" t="s">
        <v>420</v>
      </c>
      <c r="C33" s="13"/>
      <c r="D33" s="11" t="s">
        <v>401</v>
      </c>
      <c r="E33" s="12"/>
    </row>
    <row r="34" customFormat="false" ht="18" hidden="false" customHeight="true" outlineLevel="0" collapsed="false">
      <c r="A34" s="8" t="s">
        <v>421</v>
      </c>
      <c r="B34" s="8"/>
      <c r="C34" s="8"/>
      <c r="D34" s="8"/>
      <c r="E34" s="8"/>
    </row>
    <row r="35" customFormat="false" ht="30" hidden="false" customHeight="true" outlineLevel="0" collapsed="false">
      <c r="A35" s="9" t="s">
        <v>113</v>
      </c>
      <c r="B35" s="5" t="s">
        <v>422</v>
      </c>
      <c r="C35" s="5"/>
      <c r="D35" s="10"/>
      <c r="E35" s="5"/>
    </row>
    <row r="36" customFormat="false" ht="30" hidden="false" customHeight="true" outlineLevel="0" collapsed="false">
      <c r="A36" s="11" t="s">
        <v>118</v>
      </c>
      <c r="B36" s="12" t="s">
        <v>423</v>
      </c>
      <c r="C36" s="12"/>
      <c r="D36" s="13"/>
      <c r="E36" s="12"/>
    </row>
    <row r="37" customFormat="false" ht="19.5" hidden="false" customHeight="true" outlineLevel="0" collapsed="false">
      <c r="A37" s="11" t="s">
        <v>399</v>
      </c>
      <c r="B37" s="22" t="s">
        <v>424</v>
      </c>
      <c r="C37" s="13"/>
      <c r="D37" s="11" t="s">
        <v>401</v>
      </c>
      <c r="E37" s="12"/>
    </row>
    <row r="38" customFormat="false" ht="19.5" hidden="false" customHeight="true" outlineLevel="0" collapsed="false">
      <c r="A38" s="3" t="s">
        <v>425</v>
      </c>
      <c r="B38" s="3"/>
      <c r="C38" s="3"/>
      <c r="D38" s="3"/>
      <c r="E38" s="3"/>
    </row>
    <row r="39" customFormat="false" ht="19.5" hidden="false" customHeight="true" outlineLevel="0" collapsed="false">
      <c r="A39" s="23" t="s">
        <v>426</v>
      </c>
      <c r="B39" s="23"/>
      <c r="C39" s="23"/>
      <c r="D39" s="23"/>
      <c r="E39" s="23"/>
    </row>
    <row r="40" customFormat="false" ht="18" hidden="false" customHeight="true" outlineLevel="0" collapsed="false">
      <c r="A40" s="5" t="s">
        <v>427</v>
      </c>
      <c r="B40" s="5"/>
      <c r="C40" s="5"/>
      <c r="D40" s="5"/>
      <c r="E40" s="5"/>
    </row>
    <row r="41" customFormat="false" ht="21.75" hidden="false" customHeight="true" outlineLevel="0" collapsed="false">
      <c r="A41" s="5" t="s">
        <v>428</v>
      </c>
      <c r="B41" s="5"/>
      <c r="C41" s="5"/>
      <c r="D41" s="5"/>
      <c r="E41" s="5"/>
    </row>
    <row r="42" customFormat="false" ht="21.75" hidden="false" customHeight="true" outlineLevel="0" collapsed="false">
      <c r="A42" s="5" t="s">
        <v>429</v>
      </c>
      <c r="B42" s="5"/>
      <c r="C42" s="5"/>
      <c r="D42" s="5"/>
      <c r="E42" s="5"/>
    </row>
    <row r="43" customFormat="false" ht="21.75" hidden="false" customHeight="true" outlineLevel="0" collapsed="false">
      <c r="A43" s="5" t="s">
        <v>430</v>
      </c>
      <c r="B43" s="5"/>
      <c r="C43" s="5"/>
      <c r="D43" s="5"/>
      <c r="E43" s="5"/>
    </row>
    <row r="44" customFormat="false" ht="19.5" hidden="false" customHeight="true" outlineLevel="0" collapsed="false">
      <c r="A44" s="16" t="s">
        <v>431</v>
      </c>
      <c r="B44" s="16"/>
      <c r="C44" s="16"/>
      <c r="D44" s="16"/>
      <c r="E44" s="16"/>
    </row>
  </sheetData>
  <mergeCells count="21">
    <mergeCell ref="A1:E1"/>
    <mergeCell ref="A2:E2"/>
    <mergeCell ref="A3:E3"/>
    <mergeCell ref="A4:E4"/>
    <mergeCell ref="A5:E5"/>
    <mergeCell ref="A6:E6"/>
    <mergeCell ref="A7:E7"/>
    <mergeCell ref="A8:E8"/>
    <mergeCell ref="A10:E10"/>
    <mergeCell ref="A15:E15"/>
    <mergeCell ref="A20:E20"/>
    <mergeCell ref="A25:E25"/>
    <mergeCell ref="A30:E30"/>
    <mergeCell ref="A34:E34"/>
    <mergeCell ref="A38:E38"/>
    <mergeCell ref="A39:E39"/>
    <mergeCell ref="A40:E40"/>
    <mergeCell ref="A41:E41"/>
    <mergeCell ref="A42:E42"/>
    <mergeCell ref="A43:E43"/>
    <mergeCell ref="A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46"/>
    <col collapsed="false" customWidth="true" hidden="false" outlineLevel="0" max="4" min="4" style="0" width="10"/>
    <col collapsed="false" customWidth="true" hidden="false" outlineLevel="0" max="5" min="5" style="0" width="24"/>
  </cols>
  <sheetData>
    <row r="1" customFormat="false" ht="37.5" hidden="false" customHeight="true" outlineLevel="0" collapsed="false">
      <c r="A1" s="1" t="s">
        <v>432</v>
      </c>
      <c r="B1" s="1"/>
      <c r="C1" s="1"/>
      <c r="D1" s="1"/>
      <c r="E1" s="1"/>
    </row>
    <row r="2" customFormat="false" ht="21.75" hidden="false" customHeight="true" outlineLevel="0" collapsed="false">
      <c r="A2" s="2" t="s">
        <v>433</v>
      </c>
      <c r="B2" s="2"/>
      <c r="C2" s="2"/>
      <c r="D2" s="2"/>
      <c r="E2" s="2"/>
    </row>
    <row r="3" customFormat="false" ht="39.75" hidden="false" customHeight="true" outlineLevel="0" collapsed="false">
      <c r="A3" s="6" t="s">
        <v>434</v>
      </c>
      <c r="B3" s="6"/>
      <c r="C3" s="6"/>
      <c r="D3" s="6"/>
      <c r="E3" s="6"/>
    </row>
    <row r="4" customFormat="false" ht="24" hidden="false" customHeight="true" outlineLevel="0" collapsed="false">
      <c r="A4" s="7" t="s">
        <v>26</v>
      </c>
      <c r="B4" s="7" t="s">
        <v>435</v>
      </c>
      <c r="C4" s="7" t="s">
        <v>436</v>
      </c>
      <c r="D4" s="7" t="s">
        <v>437</v>
      </c>
      <c r="E4" s="7" t="s">
        <v>438</v>
      </c>
    </row>
    <row r="5" customFormat="false" ht="18" hidden="false" customHeight="true" outlineLevel="0" collapsed="false">
      <c r="A5" s="8" t="s">
        <v>439</v>
      </c>
      <c r="B5" s="8"/>
      <c r="C5" s="8"/>
      <c r="D5" s="8"/>
      <c r="E5" s="8"/>
    </row>
    <row r="6" customFormat="false" ht="72" hidden="false" customHeight="true" outlineLevel="0" collapsed="false">
      <c r="A6" s="9" t="s">
        <v>134</v>
      </c>
      <c r="B6" s="5" t="s">
        <v>440</v>
      </c>
      <c r="C6" s="5" t="s">
        <v>441</v>
      </c>
      <c r="D6" s="10"/>
      <c r="E6" s="5"/>
    </row>
    <row r="7" customFormat="false" ht="72" hidden="false" customHeight="true" outlineLevel="0" collapsed="false">
      <c r="A7" s="11" t="s">
        <v>140</v>
      </c>
      <c r="B7" s="12" t="s">
        <v>442</v>
      </c>
      <c r="C7" s="12" t="s">
        <v>443</v>
      </c>
      <c r="D7" s="13"/>
      <c r="E7" s="12"/>
    </row>
    <row r="8" customFormat="false" ht="18" hidden="false" customHeight="true" outlineLevel="0" collapsed="false">
      <c r="A8" s="8" t="s">
        <v>444</v>
      </c>
      <c r="B8" s="8"/>
      <c r="C8" s="8"/>
      <c r="D8" s="8"/>
      <c r="E8" s="8"/>
    </row>
    <row r="9" customFormat="false" ht="72" hidden="false" customHeight="true" outlineLevel="0" collapsed="false">
      <c r="A9" s="9" t="s">
        <v>146</v>
      </c>
      <c r="B9" s="5" t="s">
        <v>445</v>
      </c>
      <c r="C9" s="5" t="s">
        <v>446</v>
      </c>
      <c r="D9" s="10"/>
      <c r="E9" s="5"/>
    </row>
    <row r="10" customFormat="false" ht="72" hidden="false" customHeight="true" outlineLevel="0" collapsed="false">
      <c r="A10" s="11" t="s">
        <v>152</v>
      </c>
      <c r="B10" s="12" t="s">
        <v>447</v>
      </c>
      <c r="C10" s="12" t="s">
        <v>448</v>
      </c>
      <c r="D10" s="13"/>
      <c r="E10" s="12"/>
    </row>
    <row r="11" customFormat="false" ht="18" hidden="false" customHeight="true" outlineLevel="0" collapsed="false">
      <c r="A11" s="8" t="s">
        <v>449</v>
      </c>
      <c r="B11" s="8"/>
      <c r="C11" s="8"/>
      <c r="D11" s="8"/>
      <c r="E11" s="8"/>
    </row>
    <row r="12" customFormat="false" ht="72" hidden="false" customHeight="true" outlineLevel="0" collapsed="false">
      <c r="A12" s="9" t="s">
        <v>158</v>
      </c>
      <c r="B12" s="5" t="s">
        <v>450</v>
      </c>
      <c r="C12" s="5" t="s">
        <v>451</v>
      </c>
      <c r="D12" s="10"/>
      <c r="E12" s="5"/>
    </row>
    <row r="13" customFormat="false" ht="72" hidden="false" customHeight="true" outlineLevel="0" collapsed="false">
      <c r="A13" s="11" t="s">
        <v>164</v>
      </c>
      <c r="B13" s="12" t="s">
        <v>452</v>
      </c>
      <c r="C13" s="12" t="s">
        <v>453</v>
      </c>
      <c r="D13" s="13"/>
      <c r="E13" s="12"/>
    </row>
    <row r="14" customFormat="false" ht="18" hidden="false" customHeight="true" outlineLevel="0" collapsed="false">
      <c r="A14" s="8" t="s">
        <v>454</v>
      </c>
      <c r="B14" s="8"/>
      <c r="C14" s="8"/>
      <c r="D14" s="8"/>
      <c r="E14" s="8"/>
    </row>
    <row r="15" customFormat="false" ht="72" hidden="false" customHeight="true" outlineLevel="0" collapsed="false">
      <c r="A15" s="9" t="s">
        <v>455</v>
      </c>
      <c r="B15" s="5" t="s">
        <v>456</v>
      </c>
      <c r="C15" s="5" t="s">
        <v>457</v>
      </c>
      <c r="D15" s="10"/>
      <c r="E15" s="5"/>
    </row>
    <row r="16" customFormat="false" ht="72" hidden="false" customHeight="true" outlineLevel="0" collapsed="false">
      <c r="A16" s="11" t="s">
        <v>458</v>
      </c>
      <c r="B16" s="12" t="s">
        <v>459</v>
      </c>
      <c r="C16" s="12" t="s">
        <v>460</v>
      </c>
      <c r="D16" s="13"/>
      <c r="E16" s="12"/>
    </row>
    <row r="17" customFormat="false" ht="18" hidden="false" customHeight="true" outlineLevel="0" collapsed="false">
      <c r="A17" s="8" t="s">
        <v>461</v>
      </c>
      <c r="B17" s="8"/>
      <c r="C17" s="8"/>
      <c r="D17" s="8"/>
      <c r="E17" s="8"/>
    </row>
    <row r="18" customFormat="false" ht="72" hidden="false" customHeight="true" outlineLevel="0" collapsed="false">
      <c r="A18" s="9" t="s">
        <v>462</v>
      </c>
      <c r="B18" s="5" t="s">
        <v>463</v>
      </c>
      <c r="C18" s="5" t="s">
        <v>464</v>
      </c>
      <c r="D18" s="10"/>
      <c r="E18" s="5"/>
    </row>
  </sheetData>
  <mergeCells count="8">
    <mergeCell ref="A1:E1"/>
    <mergeCell ref="A2:E2"/>
    <mergeCell ref="A3:E3"/>
    <mergeCell ref="A5:E5"/>
    <mergeCell ref="A8:E8"/>
    <mergeCell ref="A11:E11"/>
    <mergeCell ref="A14:E14"/>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4" min="4" style="0" width="16"/>
    <col collapsed="false" customWidth="true" hidden="false" outlineLevel="0" max="5" min="5" style="0" width="20"/>
    <col collapsed="false" customWidth="true" hidden="false" outlineLevel="0" max="6" min="6" style="0" width="30"/>
  </cols>
  <sheetData>
    <row r="1" customFormat="false" ht="37.5" hidden="false" customHeight="true" outlineLevel="0" collapsed="false">
      <c r="A1" s="1" t="s">
        <v>465</v>
      </c>
      <c r="B1" s="1"/>
      <c r="C1" s="1"/>
      <c r="D1" s="1"/>
      <c r="E1" s="1"/>
      <c r="F1" s="1"/>
    </row>
    <row r="2" customFormat="false" ht="21.75" hidden="false" customHeight="true" outlineLevel="0" collapsed="false">
      <c r="A2" s="2" t="s">
        <v>466</v>
      </c>
      <c r="B2" s="2"/>
      <c r="C2" s="2"/>
      <c r="D2" s="2"/>
      <c r="E2" s="2"/>
      <c r="F2" s="2"/>
    </row>
    <row r="3" customFormat="false" ht="19.5" hidden="false" customHeight="true" outlineLevel="0" collapsed="false">
      <c r="A3" s="3" t="s">
        <v>467</v>
      </c>
      <c r="B3" s="3"/>
      <c r="C3" s="3"/>
      <c r="D3" s="3"/>
      <c r="E3" s="3"/>
      <c r="F3" s="3"/>
    </row>
    <row r="4" customFormat="false" ht="18" hidden="false" customHeight="true" outlineLevel="0" collapsed="false">
      <c r="A4" s="5" t="s">
        <v>468</v>
      </c>
      <c r="B4" s="5"/>
      <c r="C4" s="5"/>
      <c r="D4" s="5"/>
      <c r="E4" s="5"/>
      <c r="F4" s="5"/>
    </row>
    <row r="5" customFormat="false" ht="18" hidden="false" customHeight="true" outlineLevel="0" collapsed="false">
      <c r="A5" s="5" t="s">
        <v>469</v>
      </c>
      <c r="B5" s="5"/>
      <c r="C5" s="5"/>
      <c r="D5" s="5"/>
      <c r="E5" s="5"/>
      <c r="F5" s="5"/>
    </row>
    <row r="6" customFormat="false" ht="18" hidden="false" customHeight="true" outlineLevel="0" collapsed="false">
      <c r="A6" s="5" t="s">
        <v>470</v>
      </c>
      <c r="B6" s="5"/>
      <c r="C6" s="5"/>
      <c r="D6" s="5"/>
      <c r="E6" s="5"/>
      <c r="F6" s="5"/>
    </row>
    <row r="7" customFormat="false" ht="18" hidden="false" customHeight="true" outlineLevel="0" collapsed="false">
      <c r="A7" s="5" t="s">
        <v>471</v>
      </c>
      <c r="B7" s="5"/>
      <c r="C7" s="5"/>
      <c r="D7" s="5"/>
      <c r="E7" s="5"/>
      <c r="F7" s="5"/>
    </row>
    <row r="8" customFormat="false" ht="19.5" hidden="false" customHeight="true" outlineLevel="0" collapsed="false">
      <c r="A8" s="3" t="s">
        <v>472</v>
      </c>
      <c r="B8" s="3"/>
      <c r="C8" s="3"/>
      <c r="D8" s="3"/>
      <c r="E8" s="3"/>
      <c r="F8" s="3"/>
    </row>
    <row r="9" customFormat="false" ht="24" hidden="false" customHeight="true" outlineLevel="0" collapsed="false">
      <c r="A9" s="7" t="s">
        <v>282</v>
      </c>
      <c r="B9" s="7" t="s">
        <v>130</v>
      </c>
      <c r="C9" s="7" t="s">
        <v>437</v>
      </c>
      <c r="D9" s="7" t="s">
        <v>473</v>
      </c>
      <c r="E9" s="7" t="s">
        <v>474</v>
      </c>
      <c r="F9" s="7" t="s">
        <v>475</v>
      </c>
    </row>
    <row r="10" customFormat="false" ht="21.75" hidden="false" customHeight="true" outlineLevel="0" collapsed="false">
      <c r="A10" s="17" t="s">
        <v>476</v>
      </c>
      <c r="B10" s="10" t="s">
        <v>160</v>
      </c>
      <c r="C10" s="10"/>
      <c r="D10" s="10" t="str">
        <f aca="false">IF(C10="","",C10*0.2)</f>
        <v/>
      </c>
      <c r="E10" s="10" t="s">
        <v>477</v>
      </c>
      <c r="F10" s="5"/>
    </row>
    <row r="11" customFormat="false" ht="21.75" hidden="false" customHeight="true" outlineLevel="0" collapsed="false">
      <c r="A11" s="22" t="s">
        <v>478</v>
      </c>
      <c r="B11" s="13" t="s">
        <v>201</v>
      </c>
      <c r="C11" s="13"/>
      <c r="D11" s="13" t="str">
        <f aca="false">IF(C11="","",C11*0.25)</f>
        <v/>
      </c>
      <c r="E11" s="13" t="s">
        <v>477</v>
      </c>
      <c r="F11" s="12"/>
    </row>
    <row r="12" customFormat="false" ht="21.75" hidden="false" customHeight="true" outlineLevel="0" collapsed="false">
      <c r="A12" s="17" t="s">
        <v>479</v>
      </c>
      <c r="B12" s="10" t="s">
        <v>142</v>
      </c>
      <c r="C12" s="10"/>
      <c r="D12" s="10" t="str">
        <f aca="false">IF(C12="","",C12*0.18)</f>
        <v/>
      </c>
      <c r="E12" s="10" t="s">
        <v>477</v>
      </c>
      <c r="F12" s="5"/>
    </row>
    <row r="13" customFormat="false" ht="21.75" hidden="false" customHeight="true" outlineLevel="0" collapsed="false">
      <c r="A13" s="22" t="s">
        <v>480</v>
      </c>
      <c r="B13" s="13" t="s">
        <v>160</v>
      </c>
      <c r="C13" s="13"/>
      <c r="D13" s="13" t="str">
        <f aca="false">IF(C13="","",C13*0.2)</f>
        <v/>
      </c>
      <c r="E13" s="13" t="s">
        <v>477</v>
      </c>
      <c r="F13" s="12"/>
    </row>
    <row r="14" customFormat="false" ht="21.75" hidden="false" customHeight="true" outlineLevel="0" collapsed="false">
      <c r="A14" s="17" t="s">
        <v>481</v>
      </c>
      <c r="B14" s="10" t="s">
        <v>166</v>
      </c>
      <c r="C14" s="10"/>
      <c r="D14" s="10" t="str">
        <f aca="false">IF(C14="","",C14*0.12)</f>
        <v/>
      </c>
      <c r="E14" s="10" t="s">
        <v>477</v>
      </c>
      <c r="F14" s="5"/>
    </row>
    <row r="15" customFormat="false" ht="21.75" hidden="false" customHeight="true" outlineLevel="0" collapsed="false">
      <c r="A15" s="22" t="s">
        <v>482</v>
      </c>
      <c r="B15" s="13" t="s">
        <v>214</v>
      </c>
      <c r="C15" s="13"/>
      <c r="D15" s="13" t="str">
        <f aca="false">IF(C15="","",C15*0.05)</f>
        <v/>
      </c>
      <c r="E15" s="13" t="s">
        <v>477</v>
      </c>
      <c r="F15" s="12"/>
    </row>
    <row r="16" customFormat="false" ht="21.75" hidden="false" customHeight="true" outlineLevel="0" collapsed="false">
      <c r="A16" s="14" t="s">
        <v>483</v>
      </c>
      <c r="B16" s="8"/>
      <c r="C16" s="8"/>
      <c r="D16" s="7" t="n">
        <f aca="false">SUM(D10:D15)</f>
        <v>0</v>
      </c>
      <c r="E16" s="8"/>
      <c r="F16" s="8"/>
    </row>
    <row r="17" customFormat="false" ht="19.5" hidden="false" customHeight="true" outlineLevel="0" collapsed="false">
      <c r="A17" s="3" t="s">
        <v>484</v>
      </c>
      <c r="B17" s="3"/>
      <c r="C17" s="3"/>
      <c r="D17" s="3"/>
      <c r="E17" s="3"/>
      <c r="F17" s="3"/>
    </row>
    <row r="18" customFormat="false" ht="19.5" hidden="false" customHeight="true" outlineLevel="0" collapsed="false">
      <c r="A18" s="5" t="s">
        <v>485</v>
      </c>
      <c r="B18" s="5"/>
      <c r="C18" s="5"/>
      <c r="D18" s="5"/>
      <c r="E18" s="5"/>
      <c r="F18" s="5"/>
    </row>
    <row r="19" customFormat="false" ht="19.5" hidden="false" customHeight="true" outlineLevel="0" collapsed="false">
      <c r="A19" s="5" t="s">
        <v>486</v>
      </c>
      <c r="B19" s="5"/>
      <c r="C19" s="5"/>
      <c r="D19" s="5"/>
      <c r="E19" s="5"/>
      <c r="F19" s="5"/>
    </row>
    <row r="20" customFormat="false" ht="19.5" hidden="false" customHeight="true" outlineLevel="0" collapsed="false">
      <c r="A20" s="5" t="s">
        <v>487</v>
      </c>
      <c r="B20" s="5"/>
      <c r="C20" s="5"/>
      <c r="D20" s="5"/>
      <c r="E20" s="5"/>
      <c r="F20" s="5"/>
    </row>
    <row r="21" customFormat="false" ht="19.5" hidden="false" customHeight="true" outlineLevel="0" collapsed="false">
      <c r="A21" s="5" t="s">
        <v>488</v>
      </c>
      <c r="B21" s="5"/>
      <c r="C21" s="5"/>
      <c r="D21" s="5"/>
      <c r="E21" s="5"/>
      <c r="F21" s="5"/>
    </row>
    <row r="22" customFormat="false" ht="19.5" hidden="false" customHeight="true" outlineLevel="0" collapsed="false">
      <c r="A22" s="5" t="s">
        <v>489</v>
      </c>
      <c r="B22" s="5"/>
      <c r="C22" s="5"/>
      <c r="D22" s="5"/>
      <c r="E22" s="5"/>
      <c r="F22" s="5"/>
    </row>
    <row r="23" customFormat="false" ht="19.5" hidden="false" customHeight="true" outlineLevel="0" collapsed="false">
      <c r="A23" s="5" t="s">
        <v>490</v>
      </c>
      <c r="B23" s="5"/>
      <c r="C23" s="5"/>
      <c r="D23" s="5"/>
      <c r="E23" s="5"/>
      <c r="F23" s="5"/>
    </row>
    <row r="24" customFormat="false" ht="19.5" hidden="false" customHeight="true" outlineLevel="0" collapsed="false">
      <c r="A24" s="3" t="s">
        <v>491</v>
      </c>
      <c r="B24" s="3"/>
      <c r="C24" s="3"/>
      <c r="D24" s="3"/>
      <c r="E24" s="3"/>
      <c r="F24" s="3"/>
    </row>
    <row r="25" customFormat="false" ht="21.75" hidden="false" customHeight="true" outlineLevel="0" collapsed="false">
      <c r="A25" s="17" t="s">
        <v>492</v>
      </c>
      <c r="B25" s="5" t="s">
        <v>493</v>
      </c>
      <c r="C25" s="5"/>
      <c r="D25" s="5"/>
      <c r="E25" s="5"/>
      <c r="F25" s="5"/>
    </row>
    <row r="26" customFormat="false" ht="21.75" hidden="false" customHeight="true" outlineLevel="0" collapsed="false">
      <c r="A26" s="22" t="s">
        <v>494</v>
      </c>
      <c r="B26" s="12" t="s">
        <v>495</v>
      </c>
      <c r="C26" s="12"/>
      <c r="D26" s="12"/>
      <c r="E26" s="12"/>
      <c r="F26" s="12"/>
    </row>
    <row r="27" customFormat="false" ht="21.75" hidden="false" customHeight="true" outlineLevel="0" collapsed="false">
      <c r="A27" s="17" t="s">
        <v>496</v>
      </c>
      <c r="B27" s="5" t="s">
        <v>497</v>
      </c>
      <c r="C27" s="5"/>
      <c r="D27" s="5"/>
      <c r="E27" s="5"/>
      <c r="F27" s="5"/>
    </row>
    <row r="28" customFormat="false" ht="21.75" hidden="false" customHeight="true" outlineLevel="0" collapsed="false">
      <c r="A28" s="22" t="s">
        <v>498</v>
      </c>
      <c r="B28" s="12" t="s">
        <v>499</v>
      </c>
      <c r="C28" s="12"/>
      <c r="D28" s="12"/>
      <c r="E28" s="12"/>
      <c r="F28" s="12"/>
    </row>
  </sheetData>
  <mergeCells count="20">
    <mergeCell ref="A1:F1"/>
    <mergeCell ref="A2:F2"/>
    <mergeCell ref="A3:F3"/>
    <mergeCell ref="A4:F4"/>
    <mergeCell ref="A5:F5"/>
    <mergeCell ref="A6:F6"/>
    <mergeCell ref="A7:F7"/>
    <mergeCell ref="A8:F8"/>
    <mergeCell ref="A17:F17"/>
    <mergeCell ref="A18:F18"/>
    <mergeCell ref="A19:F19"/>
    <mergeCell ref="A20:F20"/>
    <mergeCell ref="A21:F21"/>
    <mergeCell ref="A22:F22"/>
    <mergeCell ref="A23:F23"/>
    <mergeCell ref="A24:F24"/>
    <mergeCell ref="B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4"/>
    <col collapsed="false" customWidth="true" hidden="false" outlineLevel="0" max="4" min="4" style="0" width="22"/>
    <col collapsed="false" customWidth="true" hidden="false" outlineLevel="0" max="5" min="5" style="0" width="12"/>
  </cols>
  <sheetData>
    <row r="1" customFormat="false" ht="37.5" hidden="false" customHeight="true" outlineLevel="0" collapsed="false">
      <c r="A1" s="1" t="s">
        <v>500</v>
      </c>
      <c r="B1" s="1"/>
      <c r="C1" s="1"/>
      <c r="D1" s="1"/>
      <c r="E1" s="1"/>
    </row>
    <row r="2" customFormat="false" ht="21.75" hidden="false" customHeight="true" outlineLevel="0" collapsed="false">
      <c r="A2" s="2" t="s">
        <v>501</v>
      </c>
      <c r="B2" s="2"/>
      <c r="C2" s="2"/>
      <c r="D2" s="2"/>
      <c r="E2" s="2"/>
    </row>
    <row r="3" customFormat="false" ht="33.75" hidden="false" customHeight="true" outlineLevel="0" collapsed="false">
      <c r="A3" s="6" t="s">
        <v>502</v>
      </c>
      <c r="B3" s="6"/>
      <c r="C3" s="6"/>
      <c r="D3" s="6"/>
      <c r="E3" s="6"/>
    </row>
    <row r="4" customFormat="false" ht="33.75" hidden="false" customHeight="true" outlineLevel="0" collapsed="false">
      <c r="A4" s="6" t="s">
        <v>503</v>
      </c>
      <c r="B4" s="6"/>
      <c r="C4" s="6"/>
      <c r="D4" s="6"/>
      <c r="E4" s="6"/>
    </row>
    <row r="5" customFormat="false" ht="24" hidden="false" customHeight="true" outlineLevel="0" collapsed="false">
      <c r="A5" s="7" t="s">
        <v>504</v>
      </c>
      <c r="B5" s="7" t="s">
        <v>505</v>
      </c>
      <c r="C5" s="7" t="s">
        <v>506</v>
      </c>
      <c r="D5" s="7" t="s">
        <v>507</v>
      </c>
      <c r="E5" s="7" t="s">
        <v>508</v>
      </c>
    </row>
    <row r="6" customFormat="false" ht="18" hidden="false" customHeight="true" outlineLevel="0" collapsed="false">
      <c r="A6" s="8" t="s">
        <v>509</v>
      </c>
      <c r="B6" s="8"/>
      <c r="C6" s="8"/>
      <c r="D6" s="8"/>
      <c r="E6" s="8"/>
    </row>
    <row r="7" customFormat="false" ht="55.5" hidden="false" customHeight="true" outlineLevel="0" collapsed="false">
      <c r="A7" s="9" t="s">
        <v>510</v>
      </c>
      <c r="B7" s="5" t="s">
        <v>511</v>
      </c>
      <c r="C7" s="5" t="s">
        <v>512</v>
      </c>
      <c r="D7" s="10" t="s">
        <v>513</v>
      </c>
      <c r="E7" s="10" t="s">
        <v>514</v>
      </c>
    </row>
    <row r="8" customFormat="false" ht="55.5" hidden="false" customHeight="true" outlineLevel="0" collapsed="false">
      <c r="A8" s="11" t="s">
        <v>515</v>
      </c>
      <c r="B8" s="12" t="s">
        <v>516</v>
      </c>
      <c r="C8" s="12" t="s">
        <v>517</v>
      </c>
      <c r="D8" s="13" t="s">
        <v>518</v>
      </c>
      <c r="E8" s="13" t="s">
        <v>514</v>
      </c>
    </row>
    <row r="9" customFormat="false" ht="55.5" hidden="false" customHeight="true" outlineLevel="0" collapsed="false">
      <c r="A9" s="9" t="s">
        <v>519</v>
      </c>
      <c r="B9" s="5" t="s">
        <v>520</v>
      </c>
      <c r="C9" s="5" t="s">
        <v>521</v>
      </c>
      <c r="D9" s="10" t="s">
        <v>522</v>
      </c>
      <c r="E9" s="10" t="s">
        <v>514</v>
      </c>
    </row>
    <row r="10" customFormat="false" ht="55.5" hidden="false" customHeight="true" outlineLevel="0" collapsed="false">
      <c r="A10" s="11" t="s">
        <v>523</v>
      </c>
      <c r="B10" s="12" t="s">
        <v>524</v>
      </c>
      <c r="C10" s="12" t="s">
        <v>525</v>
      </c>
      <c r="D10" s="13" t="s">
        <v>231</v>
      </c>
      <c r="E10" s="13" t="s">
        <v>514</v>
      </c>
    </row>
    <row r="11" customFormat="false" ht="51.75" hidden="false" customHeight="true" outlineLevel="0" collapsed="false">
      <c r="A11" s="24" t="s">
        <v>526</v>
      </c>
      <c r="B11" s="24" t="s">
        <v>527</v>
      </c>
      <c r="C11" s="20" t="s">
        <v>528</v>
      </c>
      <c r="D11" s="25" t="s">
        <v>231</v>
      </c>
      <c r="E11" s="25" t="s">
        <v>514</v>
      </c>
    </row>
    <row r="12" customFormat="false" ht="18" hidden="false" customHeight="true" outlineLevel="0" collapsed="false">
      <c r="A12" s="8" t="s">
        <v>529</v>
      </c>
      <c r="B12" s="8"/>
      <c r="C12" s="8"/>
      <c r="D12" s="8"/>
      <c r="E12" s="8"/>
    </row>
    <row r="13" customFormat="false" ht="55.5" hidden="false" customHeight="true" outlineLevel="0" collapsed="false">
      <c r="A13" s="9" t="s">
        <v>530</v>
      </c>
      <c r="B13" s="5" t="s">
        <v>531</v>
      </c>
      <c r="C13" s="5" t="s">
        <v>532</v>
      </c>
      <c r="D13" s="10" t="s">
        <v>513</v>
      </c>
      <c r="E13" s="10" t="s">
        <v>514</v>
      </c>
    </row>
    <row r="14" customFormat="false" ht="55.5" hidden="false" customHeight="true" outlineLevel="0" collapsed="false">
      <c r="A14" s="11" t="s">
        <v>533</v>
      </c>
      <c r="B14" s="12" t="s">
        <v>534</v>
      </c>
      <c r="C14" s="12" t="s">
        <v>535</v>
      </c>
      <c r="D14" s="13" t="s">
        <v>61</v>
      </c>
      <c r="E14" s="13" t="s">
        <v>514</v>
      </c>
    </row>
    <row r="15" customFormat="false" ht="55.5" hidden="false" customHeight="true" outlineLevel="0" collapsed="false">
      <c r="A15" s="9" t="s">
        <v>536</v>
      </c>
      <c r="B15" s="5" t="s">
        <v>537</v>
      </c>
      <c r="C15" s="5" t="s">
        <v>538</v>
      </c>
      <c r="D15" s="10" t="s">
        <v>539</v>
      </c>
      <c r="E15" s="10" t="s">
        <v>514</v>
      </c>
    </row>
    <row r="16" customFormat="false" ht="51.75" hidden="false" customHeight="true" outlineLevel="0" collapsed="false">
      <c r="A16" s="24" t="s">
        <v>540</v>
      </c>
      <c r="B16" s="24" t="s">
        <v>527</v>
      </c>
      <c r="C16" s="20" t="s">
        <v>541</v>
      </c>
      <c r="D16" s="25" t="s">
        <v>231</v>
      </c>
      <c r="E16" s="25" t="s">
        <v>514</v>
      </c>
    </row>
    <row r="17" customFormat="false" ht="18" hidden="false" customHeight="true" outlineLevel="0" collapsed="false">
      <c r="A17" s="8" t="s">
        <v>542</v>
      </c>
      <c r="B17" s="8"/>
      <c r="C17" s="8"/>
      <c r="D17" s="8"/>
      <c r="E17" s="8"/>
    </row>
    <row r="18" customFormat="false" ht="55.5" hidden="false" customHeight="true" outlineLevel="0" collapsed="false">
      <c r="A18" s="11" t="s">
        <v>543</v>
      </c>
      <c r="B18" s="12" t="s">
        <v>544</v>
      </c>
      <c r="C18" s="12" t="s">
        <v>545</v>
      </c>
      <c r="D18" s="13" t="s">
        <v>61</v>
      </c>
      <c r="E18" s="13" t="s">
        <v>514</v>
      </c>
    </row>
    <row r="19" customFormat="false" ht="55.5" hidden="false" customHeight="true" outlineLevel="0" collapsed="false">
      <c r="A19" s="9" t="s">
        <v>546</v>
      </c>
      <c r="B19" s="5" t="s">
        <v>547</v>
      </c>
      <c r="C19" s="5" t="s">
        <v>548</v>
      </c>
      <c r="D19" s="10" t="s">
        <v>127</v>
      </c>
      <c r="E19" s="10" t="s">
        <v>514</v>
      </c>
    </row>
    <row r="20" customFormat="false" ht="55.5" hidden="false" customHeight="true" outlineLevel="0" collapsed="false">
      <c r="A20" s="11" t="s">
        <v>549</v>
      </c>
      <c r="B20" s="12" t="s">
        <v>550</v>
      </c>
      <c r="C20" s="12" t="s">
        <v>551</v>
      </c>
      <c r="D20" s="13" t="s">
        <v>231</v>
      </c>
      <c r="E20" s="13" t="s">
        <v>514</v>
      </c>
    </row>
    <row r="21" customFormat="false" ht="51.75" hidden="false" customHeight="true" outlineLevel="0" collapsed="false">
      <c r="A21" s="24" t="s">
        <v>552</v>
      </c>
      <c r="B21" s="24" t="s">
        <v>527</v>
      </c>
      <c r="C21" s="20" t="s">
        <v>553</v>
      </c>
      <c r="D21" s="25" t="s">
        <v>231</v>
      </c>
      <c r="E21" s="25" t="s">
        <v>514</v>
      </c>
    </row>
  </sheetData>
  <mergeCells count="7">
    <mergeCell ref="A1:E1"/>
    <mergeCell ref="A2:E2"/>
    <mergeCell ref="A3:E3"/>
    <mergeCell ref="A4:E4"/>
    <mergeCell ref="A6:E6"/>
    <mergeCell ref="A12:E12"/>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4" min="3" style="0" width="40"/>
    <col collapsed="false" customWidth="true" hidden="false" outlineLevel="0" max="5" min="5" style="0" width="16"/>
  </cols>
  <sheetData>
    <row r="1" customFormat="false" ht="37.5" hidden="false" customHeight="true" outlineLevel="0" collapsed="false">
      <c r="A1" s="1" t="s">
        <v>554</v>
      </c>
      <c r="B1" s="1"/>
      <c r="C1" s="1"/>
      <c r="D1" s="1"/>
      <c r="E1" s="1"/>
    </row>
    <row r="2" customFormat="false" ht="21.75" hidden="false" customHeight="true" outlineLevel="0" collapsed="false">
      <c r="A2" s="2" t="s">
        <v>555</v>
      </c>
      <c r="B2" s="2"/>
      <c r="C2" s="2"/>
      <c r="D2" s="2"/>
      <c r="E2" s="2"/>
    </row>
    <row r="3" customFormat="false" ht="24" hidden="false" customHeight="true" outlineLevel="0" collapsed="false">
      <c r="A3" s="7" t="s">
        <v>242</v>
      </c>
      <c r="B3" s="7" t="s">
        <v>243</v>
      </c>
      <c r="C3" s="7" t="s">
        <v>244</v>
      </c>
      <c r="D3" s="7" t="s">
        <v>245</v>
      </c>
      <c r="E3" s="7" t="s">
        <v>247</v>
      </c>
    </row>
    <row r="4" customFormat="false" ht="45.75" hidden="false" customHeight="true" outlineLevel="0" collapsed="false">
      <c r="A4" s="9" t="s">
        <v>248</v>
      </c>
      <c r="B4" s="5" t="s">
        <v>249</v>
      </c>
      <c r="C4" s="5" t="s">
        <v>556</v>
      </c>
      <c r="D4" s="5" t="s">
        <v>251</v>
      </c>
      <c r="E4" s="10" t="s">
        <v>252</v>
      </c>
    </row>
    <row r="5" customFormat="false" ht="45.75" hidden="false" customHeight="true" outlineLevel="0" collapsed="false">
      <c r="A5" s="11" t="s">
        <v>557</v>
      </c>
      <c r="B5" s="12" t="s">
        <v>254</v>
      </c>
      <c r="C5" s="12" t="s">
        <v>255</v>
      </c>
      <c r="D5" s="12" t="s">
        <v>256</v>
      </c>
      <c r="E5" s="13" t="s">
        <v>558</v>
      </c>
    </row>
    <row r="6" customFormat="false" ht="45.75" hidden="false" customHeight="true" outlineLevel="0" collapsed="false">
      <c r="A6" s="9" t="s">
        <v>559</v>
      </c>
      <c r="B6" s="5" t="s">
        <v>259</v>
      </c>
      <c r="C6" s="5" t="s">
        <v>260</v>
      </c>
      <c r="D6" s="5" t="s">
        <v>560</v>
      </c>
      <c r="E6" s="10" t="s">
        <v>561</v>
      </c>
    </row>
    <row r="7" customFormat="false" ht="45.75" hidden="false" customHeight="true" outlineLevel="0" collapsed="false">
      <c r="A7" s="11" t="s">
        <v>264</v>
      </c>
      <c r="B7" s="12" t="s">
        <v>265</v>
      </c>
      <c r="C7" s="12" t="s">
        <v>266</v>
      </c>
      <c r="D7" s="12" t="s">
        <v>267</v>
      </c>
      <c r="E7" s="13" t="s">
        <v>269</v>
      </c>
    </row>
    <row r="8" customFormat="false" ht="19.5" hidden="false" customHeight="true" outlineLevel="0" collapsed="false">
      <c r="A8" s="3" t="s">
        <v>562</v>
      </c>
      <c r="B8" s="3"/>
      <c r="C8" s="3"/>
      <c r="D8" s="3"/>
      <c r="E8" s="3"/>
    </row>
    <row r="9" customFormat="false" ht="33.75" hidden="false" customHeight="true" outlineLevel="0" collapsed="false">
      <c r="A9" s="5" t="s">
        <v>563</v>
      </c>
      <c r="B9" s="5"/>
      <c r="C9" s="5"/>
      <c r="D9" s="5"/>
      <c r="E9" s="5"/>
    </row>
    <row r="10" customFormat="false" ht="33.75" hidden="false" customHeight="true" outlineLevel="0" collapsed="false">
      <c r="A10" s="5" t="s">
        <v>564</v>
      </c>
      <c r="B10" s="5"/>
      <c r="C10" s="5"/>
      <c r="D10" s="5"/>
      <c r="E10" s="5"/>
    </row>
    <row r="11" customFormat="false" ht="33.75" hidden="false" customHeight="true" outlineLevel="0" collapsed="false">
      <c r="A11" s="5" t="s">
        <v>565</v>
      </c>
      <c r="B11" s="5"/>
      <c r="C11" s="5"/>
      <c r="D11" s="5"/>
      <c r="E11" s="5"/>
    </row>
    <row r="12" customFormat="false" ht="19.5" hidden="false" customHeight="true" outlineLevel="0" collapsed="false">
      <c r="A12" s="3" t="s">
        <v>566</v>
      </c>
      <c r="B12" s="3"/>
      <c r="C12" s="3"/>
      <c r="D12" s="3"/>
      <c r="E12" s="3"/>
    </row>
    <row r="13" customFormat="false" ht="24" hidden="false" customHeight="true" outlineLevel="0" collapsed="false">
      <c r="A13" s="26" t="s">
        <v>567</v>
      </c>
      <c r="B13" s="26"/>
      <c r="C13" s="26"/>
      <c r="D13" s="26"/>
      <c r="E13" s="26"/>
    </row>
    <row r="14" customFormat="false" ht="24" hidden="false" customHeight="true" outlineLevel="0" collapsed="false">
      <c r="A14" s="26" t="s">
        <v>568</v>
      </c>
      <c r="B14" s="26"/>
      <c r="C14" s="26"/>
      <c r="D14" s="26"/>
      <c r="E14" s="26"/>
    </row>
    <row r="15" customFormat="false" ht="24" hidden="false" customHeight="true" outlineLevel="0" collapsed="false">
      <c r="A15" s="26" t="s">
        <v>569</v>
      </c>
      <c r="B15" s="26"/>
      <c r="C15" s="26"/>
      <c r="D15" s="26"/>
      <c r="E15" s="26"/>
    </row>
  </sheetData>
  <mergeCells count="10">
    <mergeCell ref="A1:E1"/>
    <mergeCell ref="A2:E2"/>
    <mergeCell ref="A8:E8"/>
    <mergeCell ref="A9:E9"/>
    <mergeCell ref="A10:E10"/>
    <mergeCell ref="A11:E11"/>
    <mergeCell ref="A12:E12"/>
    <mergeCell ref="A13:E13"/>
    <mergeCell ref="A14:E14"/>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2026-06-04T04:47:13Z</dcterms:created>
  <dc:creator>openpyxl</dc:creator>
  <dc:description/>
  <dc:language>en-US</dc:language>
  <cp:lastModifiedBy/>
  <dcterms:modified xsi:type="dcterms:W3CDTF">2026-06-04T04:47:13Z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