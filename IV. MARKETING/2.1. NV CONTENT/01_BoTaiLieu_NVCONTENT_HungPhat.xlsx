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ô tả công việc" sheetId="1" state="visible" r:id="rId3"/>
    <sheet name="Khung năng lực" sheetId="2" state="visible" r:id="rId4"/>
    <sheet name="Phiếu đánh giá cá nhân" sheetId="3" state="visible" r:id="rId5"/>
    <sheet name="Câu hỏi phỏng vấn" sheetId="4" state="visible" r:id="rId6"/>
    <sheet name="Score Card ứng viên" sheetId="5" state="visible" r:id="rId7"/>
    <sheet name="Kế hoạch 30-60-90 ngày" sheetId="6" state="visible" r:id="rId8"/>
    <sheet name="Lộ trình phát triể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<sst xmlns="http://schemas.openxmlformats.org/spreadsheetml/2006/main" count="734" uniqueCount="542">
  <si>
    <t xml:space="preserve">MÔ TẢ CÔNG VIỆC – NHÂN VIÊN CONTENT (KIÊM EDIT &amp; QUẢN TRỊ KÊNH OFFICIAL)</t>
  </si>
  <si>
    <t xml:space="preserve">CTCP Hùng Phát | Nhóm Content | Mã vị trí: NVCONTENT | Phiên bản v1.0</t>
  </si>
  <si>
    <t xml:space="preserve">▌ I. THÔNG TIN CHUNG</t>
  </si>
  <si>
    <t xml:space="preserve">Chức danh</t>
  </si>
  <si>
    <t xml:space="preserve">Nhân viên Content (kiêm Edit &amp; Quản trị kênh Official) (Content Creator (cum Editor &amp; Official Channel Admin))</t>
  </si>
  <si>
    <t xml:space="preserve">Mã vị trí</t>
  </si>
  <si>
    <t xml:space="preserve">NVCONTENT</t>
  </si>
  <si>
    <t xml:space="preserve">Phòng / Nhóm</t>
  </si>
  <si>
    <t xml:space="preserve">Phòng Marketing – Nhóm Content</t>
  </si>
  <si>
    <t xml:space="preserve">Cấp báo cáo</t>
  </si>
  <si>
    <t xml:space="preserve">Trưởng nhóm Content / Trưởng phòng Marketing</t>
  </si>
  <si>
    <t xml:space="preserve">Cấp dưới trực tiếp</t>
  </si>
  <si>
    <t xml:space="preserve">Không có (vị trí cá nhân – Individual Contributor)</t>
  </si>
  <si>
    <t xml:space="preserve">Tính chất vị trí</t>
  </si>
  <si>
    <t xml:space="preserve">Đa năng: SÁNG TẠO nội dung + KIÊM EDIT (video/ảnh) + QUẢN TRỊ KÊNH OFFICIAL + ỨNG DỤNG AI</t>
  </si>
  <si>
    <t xml:space="preserve">Kênh official phụ trách</t>
  </si>
  <si>
    <t xml:space="preserve">Fanpage/IG/TikTok/YouTube · Website · Gian hàng official trên sàn TMĐT</t>
  </si>
  <si>
    <t xml:space="preserve">Đặc thù thời đại AI</t>
  </si>
  <si>
    <t xml:space="preserve">Khai thác công cụ/kênh AI (AI copy/ảnh/video, prompt, chatbot) để tăng năng suất &amp; ý tưởng</t>
  </si>
  <si>
    <t xml:space="preserve">Địa điểm / Ca</t>
  </si>
  <si>
    <t xml:space="preserve">Văn phòng HP; quay/sản xuất tại studio nội bộ, kho/điểm bán hoặc hiện trường khi cần | Giờ hành chính; linh hoạt theo lịch đăng kênh, chiến dịch &amp; sản xuất nội dung</t>
  </si>
  <si>
    <t xml:space="preserve">Ngày hiệu lực / JD</t>
  </si>
  <si>
    <t xml:space="preserve">___/___/______ | v1.0</t>
  </si>
  <si>
    <t xml:space="preserve">▌ II. MỤC ĐÍCH VỊ TRÍ</t>
  </si>
  <si>
    <t xml:space="preserve">Nhân viên Content chịu trách nhiệm sáng tạo &amp; sản xuất nội dung cho các kênh official của HP và VẬN HÀNH các kênh đó (fanpage/IG/TikTok/YouTube, website, gian hàng official trên sàn). Trong thời đại AI, vị trí content KHÔNG chỉ viết/lên ý tưởng mà KIÊM LUÔN EDIT (dựng video, chỉnh ảnh, thiết kế cơ bản) và KHAI THÁC CÔNG CỤ/KÊNH AI (AI copy, AI ảnh/video, prompt, chatbot) để tăng năng suất và làm nội dung hấp dẫn hơn. Đồng thời quản trị kênh official: lên lịch đăng, đăng bài, tương tác – trả lời comment/inbox, nuôi cộng đồng và theo dõi chỉ số. Ưu tiên cốt lõi: NỘI DUNG ĐÚNG BRAND – HẤP DẪN – HIỆU QUẢ trên kênh official; TỰ EDIT &amp; DÙNG AI để sản xuất nhanh; vận hành kênh chuyên nghiệp &amp; an toàn thương hiệu.</t>
  </si>
  <si>
    <t xml:space="preserve">▌ III. TRÁCH NHIỆM CHÍNH &amp; KPI</t>
  </si>
  <si>
    <t xml:space="preserve">#</t>
  </si>
  <si>
    <t xml:space="preserve">TRÁCH NHIỆM / NHIỆM VỤ</t>
  </si>
  <si>
    <t xml:space="preserve">KPI / TIÊU CHUẨN</t>
  </si>
  <si>
    <t xml:space="preserve">TẦN SUẤT</t>
  </si>
  <si>
    <t xml:space="preserve">MỨC TỐI THIỂU</t>
  </si>
  <si>
    <t xml:space="preserve">PHỐI HỢP</t>
  </si>
  <si>
    <t xml:space="preserve">NHÓM 1 – SÁNG TẠO &amp; SẢN XUẤT NỘI DUNG</t>
  </si>
  <si>
    <t xml:space="preserve">1.1</t>
  </si>
  <si>
    <t xml:space="preserve">Lên ý tưởng &amp; sản xuất nội dung đa định dạng (bài, caption, kịch bản, post, mô tả sản phẩm) theo brand &amp; calendar</t>
  </si>
  <si>
    <t xml:space="preserve">Sản lượng ≥ KH; đạt brand &amp; đúng sự thật; 0 sai chính tả</t>
  </si>
  <si>
    <t xml:space="preserve">Hàng tuần</t>
  </si>
  <si>
    <t xml:space="preserve">Sản lượng &amp; chất lượng ≥ KH</t>
  </si>
  <si>
    <t xml:space="preserve">TN Content · Sản phẩm</t>
  </si>
  <si>
    <t xml:space="preserve">1.2</t>
  </si>
  <si>
    <t xml:space="preserve">Bám insight khách hàng &amp; xu hướng (trend) ngành vali-balo/social để nội dung hấp dẫn, đúng tệp</t>
  </si>
  <si>
    <t xml:space="preserve">Nội dung bắt trend &amp; đúng insight; tỷ lệ tương tác ≥ KH</t>
  </si>
  <si>
    <t xml:space="preserve">Bắt trend &amp; đúng insight</t>
  </si>
  <si>
    <t xml:space="preserve">TN Content · Marketing</t>
  </si>
  <si>
    <t xml:space="preserve">1.3</t>
  </si>
  <si>
    <t xml:space="preserve">Viết chuẩn SEO/social cho website &amp; sàn (tiêu đề, mô tả, từ khóa) khi được giao</t>
  </si>
  <si>
    <t xml:space="preserve">Bài SEO/mô tả đạt chuẩn; cải thiện hiển thị/tìm kiếm</t>
  </si>
  <si>
    <t xml:space="preserve">Theo yêu cầu</t>
  </si>
  <si>
    <t xml:space="preserve">Đạt chuẩn SEO/social</t>
  </si>
  <si>
    <t xml:space="preserve">TN Content · Performance</t>
  </si>
  <si>
    <t xml:space="preserve">NHÓM 2 – EDIT: DỰNG VIDEO &amp; CHỈNH ẢNH / THIẾT KẾ CƠ BẢN (Kiêm edit)</t>
  </si>
  <si>
    <t xml:space="preserve">2.1</t>
  </si>
  <si>
    <t xml:space="preserve">Tự dựng video ngắn (short/reels/TikTok/clip sản phẩm): cắt dựng, nhạc, phụ đề, hiệu ứng đạt chuẩn &amp; xu hướng</t>
  </si>
  <si>
    <t xml:space="preserve">Video đạt chuẩn &amp; đúng deadline; 0 lỗi kỹ thuật cơ bản</t>
  </si>
  <si>
    <t xml:space="preserve">Đạt chuẩn &amp; deadline</t>
  </si>
  <si>
    <t xml:space="preserve">TN Content</t>
  </si>
  <si>
    <t xml:space="preserve">2.2</t>
  </si>
  <si>
    <t xml:space="preserve">Chỉnh ảnh &amp; thiết kế cơ bản (post/banner đơn giản) bằng Photoshop/Canva theo brand</t>
  </si>
  <si>
    <t xml:space="preserve">Ảnh/post đạt brand &amp; chất lượng; đúng nhận diện</t>
  </si>
  <si>
    <t xml:space="preserve">Đạt brand</t>
  </si>
  <si>
    <t xml:space="preserve">TN Content · Thiết kế</t>
  </si>
  <si>
    <t xml:space="preserve">2.3</t>
  </si>
  <si>
    <t xml:space="preserve">Phối hợp/tự quay-chụp tư liệu sản phẩm khi cần; xử lý hậu kỳ</t>
  </si>
  <si>
    <t xml:space="preserve">Có đủ tư liệu cho nội dung; hình/clip đạt chuẩn kênh</t>
  </si>
  <si>
    <t xml:space="preserve">Đủ tư liệu đạt chuẩn</t>
  </si>
  <si>
    <t xml:space="preserve">NHÓM 3 – QUẢN TRỊ &amp; VẬN HÀNH KÊNH OFFICIAL</t>
  </si>
  <si>
    <t xml:space="preserve">3.1</t>
  </si>
  <si>
    <t xml:space="preserve">Vận hành kênh official theo lịch đăng: đăng bài đúng giờ/định dạng/kênh; giữ nhịp đăng đều</t>
  </si>
  <si>
    <t xml:space="preserve">100% bài đăng đúng lịch &amp; định dạng; 0 sự cố đăng nhầm/sai</t>
  </si>
  <si>
    <t xml:space="preserve">Hàng ngày</t>
  </si>
  <si>
    <t xml:space="preserve">Đăng đúng lịch</t>
  </si>
  <si>
    <t xml:space="preserve">3.2</t>
  </si>
  <si>
    <t xml:space="preserve">Tương tác &amp; chăm sóc cộng đồng: trả lời comment/inbox đúng tông brand &amp; SLA; chuyển đơn/khiếu nại cho bộ phận liên quan</t>
  </si>
  <si>
    <t xml:space="preserve">SLA phản hồi đạt; tông giao tiếp đúng brand; 0 phản hồi gây khủng hoảng</t>
  </si>
  <si>
    <t xml:space="preserve">SLA phản hồi đạt</t>
  </si>
  <si>
    <t xml:space="preserve">TN Content · CS · Sales</t>
  </si>
  <si>
    <t xml:space="preserve">3.3</t>
  </si>
  <si>
    <t xml:space="preserve">Theo dõi chỉ số kênh (follow, reach, engagement, lượt xem) &amp; sức khỏe kênh official</t>
  </si>
  <si>
    <t xml:space="preserve">Theo dõi &amp; báo cáo chỉ số kênh định kỳ; tăng trưởng kênh ≥ KH</t>
  </si>
  <si>
    <t xml:space="preserve">Tăng trưởng kênh ≥ KH</t>
  </si>
  <si>
    <t xml:space="preserve">NHÓM 4 – ỨNG DỤNG AI &amp; KHAI THÁC CÔNG CỤ/KÊNH AI</t>
  </si>
  <si>
    <t xml:space="preserve">4.1</t>
  </si>
  <si>
    <t xml:space="preserve">Ứng dụng AI vào sản xuất: AI copy (ChatGPT/Claude), AI ảnh (Midjourney), AI video/phụ đề; dùng prompt library của nhóm</t>
  </si>
  <si>
    <t xml:space="preserve">Năng suất sản xuất tăng ≥ KH nhờ AI; chất lượng vẫn đạt chuẩn</t>
  </si>
  <si>
    <t xml:space="preserve">Hàng tháng</t>
  </si>
  <si>
    <t xml:space="preserve">Năng suất tăng ≥ KH</t>
  </si>
  <si>
    <t xml:space="preserve">TN Content · IT</t>
  </si>
  <si>
    <t xml:space="preserve">4.2</t>
  </si>
  <si>
    <t xml:space="preserve">Khai thác kênh/công cụ AI hỗ trợ vận hành (gợi ý nội dung, lên ý tưởng, trả lời tự động/chatbot trong phạm vi được giao)</t>
  </si>
  <si>
    <t xml:space="preserve">Dùng công cụ AI hiệu quả &amp; đúng phạm vi; tiết kiệm thời gian</t>
  </si>
  <si>
    <t xml:space="preserve">Dùng AI hiệu quả</t>
  </si>
  <si>
    <t xml:space="preserve">4.3</t>
  </si>
  <si>
    <t xml:space="preserve">Kiểm soát chất lượng &amp; rủi ro nội dung AI (đúng sự thật, bản quyền, brand-safe); review trước đăng</t>
  </si>
  <si>
    <t xml:space="preserve">0 nội dung AI sai sự thật/vi phạm bản quyền ra ngoài</t>
  </si>
  <si>
    <t xml:space="preserve">0 lỗi AI ra ngoài</t>
  </si>
  <si>
    <t xml:space="preserve">NHÓM 5 – ĐO LƯỜNG HIỆU QUẢ &amp; TỐI ƯU NỘI DUNG</t>
  </si>
  <si>
    <t xml:space="preserve">5.1</t>
  </si>
  <si>
    <t xml:space="preserve">Theo dõi hiệu quả nội dung (reach/engagement/view/CTR/chuyển đổi) &amp; hiểu vì sao nội dung thắng/thua</t>
  </si>
  <si>
    <t xml:space="preserve">Báo cáo hiệu quả định kỳ; nội dung đạt KPI hiệu quả ≥ KH</t>
  </si>
  <si>
    <t xml:space="preserve">Hiệu quả ≥ KH</t>
  </si>
  <si>
    <t xml:space="preserve">5.2</t>
  </si>
  <si>
    <t xml:space="preserve">Đề xuất &amp; thử nghiệm (A/B tiêu đề/thumbnail/định dạng) để tối ưu; nhân bản nội dung thắng</t>
  </si>
  <si>
    <t xml:space="preserve">≥ 1 đề xuất/thử nghiệm mỗi chu kỳ; áp dụng cải thiện</t>
  </si>
  <si>
    <t xml:space="preserve">≥ 1 thử nghiệm/chu kỳ</t>
  </si>
  <si>
    <t xml:space="preserve">NHÓM 6 – TUÂN THỦ BRAND, BẢN QUYỀN &amp; PHỐI HỢP/BÁO CÁO</t>
  </si>
  <si>
    <t xml:space="preserve">6.1</t>
  </si>
  <si>
    <t xml:space="preserve">Tuân thủ brand guidelines (logo/màu/font/tông giọng) &amp; bản quyền (nhạc/ảnh/AI); lưu trữ tài sản số gọn gàng</t>
  </si>
  <si>
    <t xml:space="preserve">0 vi phạm brand/bản quyền; tài sản số lưu trữ chuẩn, truy xuất được</t>
  </si>
  <si>
    <t xml:space="preserve">0 vi phạm brand/bản quyền</t>
  </si>
  <si>
    <t xml:space="preserve">TN Content · Pháp chế</t>
  </si>
  <si>
    <t xml:space="preserve">6.2</t>
  </si>
  <si>
    <t xml:space="preserve">Phối hợp Sản phẩm/Sales/Performance/CS để nội dung &amp; kênh phục vụ mục tiêu; báo cáo công việc đúng hạn</t>
  </si>
  <si>
    <t xml:space="preserve">0 trễ deliverable vì phối hợp; 100% báo cáo đúng hạn</t>
  </si>
  <si>
    <t xml:space="preserve">0 báo cáo trễ</t>
  </si>
  <si>
    <t xml:space="preserve">TN Content · các bộ phận</t>
  </si>
  <si>
    <t xml:space="preserve">▌ IV. CHỈ TIÊU KPI SỐNG CÒN – NV Content</t>
  </si>
  <si>
    <t xml:space="preserve">CHỈ TIÊU KPI</t>
  </si>
  <si>
    <t xml:space="preserve">TRỌNG SỐ</t>
  </si>
  <si>
    <t xml:space="preserve">TIÊU CHUẨN ĐẠT</t>
  </si>
  <si>
    <t xml:space="preserve">TIÊU CHUẨN XUẤT SẮC</t>
  </si>
  <si>
    <t xml:space="preserve">NGUỒN DỮ LIỆU</t>
  </si>
  <si>
    <t xml:space="preserve">1</t>
  </si>
  <si>
    <t xml:space="preserve">Sản lượng &amp; chất lượng nội dung (đúng brand)</t>
  </si>
  <si>
    <t xml:space="preserve">25%</t>
  </si>
  <si>
    <t xml:space="preserve">Sản lượng ≥ KH · đạt brand &amp; chất lượng</t>
  </si>
  <si>
    <t xml:space="preserve">Vượt sản lượng · nội dung nổi bật</t>
  </si>
  <si>
    <t xml:space="preserve">Calendar / duyệt</t>
  </si>
  <si>
    <t xml:space="preserve">2</t>
  </si>
  <si>
    <t xml:space="preserve">Tự EDIT (video/ảnh) đạt chuẩn &amp; deadline</t>
  </si>
  <si>
    <t xml:space="preserve">20%</t>
  </si>
  <si>
    <t xml:space="preserve">Video/ảnh đúng chuẩn &amp; deadline</t>
  </si>
  <si>
    <t xml:space="preserve">Edit nhanh &amp; chất lượng cao</t>
  </si>
  <si>
    <t xml:space="preserve">Sản phẩm edit</t>
  </si>
  <si>
    <t xml:space="preserve">3</t>
  </si>
  <si>
    <t xml:space="preserve">Quản trị kênh Official (vận hành &amp; tăng trưởng)</t>
  </si>
  <si>
    <t xml:space="preserve">18%</t>
  </si>
  <si>
    <t xml:space="preserve">Đăng đúng lịch · SLA phản hồi đạt · kênh tăng ≥ KH</t>
  </si>
  <si>
    <t xml:space="preserve">Kênh tăng trưởng mạnh · cộng đồng tốt</t>
  </si>
  <si>
    <t xml:space="preserve">Analytics kênh</t>
  </si>
  <si>
    <t xml:space="preserve">4</t>
  </si>
  <si>
    <t xml:space="preserve">Ứng dụng AI tăng năng suất</t>
  </si>
  <si>
    <t xml:space="preserve">15%</t>
  </si>
  <si>
    <t xml:space="preserve">Năng suất ≥ KH nhờ AI · chất lượng đạt</t>
  </si>
  <si>
    <t xml:space="preserve">Khai thác AI sáng tạo · tiết kiệm rõ</t>
  </si>
  <si>
    <t xml:space="preserve">Báo cáo sản xuất</t>
  </si>
  <si>
    <t xml:space="preserve">5</t>
  </si>
  <si>
    <t xml:space="preserve">Hiệu quả nội dung (engagement/reach/chuyển đổi)</t>
  </si>
  <si>
    <t xml:space="preserve">12%</t>
  </si>
  <si>
    <t xml:space="preserve">Đạt KPI hiệu quả ≥ KH</t>
  </si>
  <si>
    <t xml:space="preserve">Nội dung viral/chuyển đổi cao</t>
  </si>
  <si>
    <t xml:space="preserve">Analytics</t>
  </si>
  <si>
    <t xml:space="preserve">6</t>
  </si>
  <si>
    <t xml:space="preserve">Brand-safe, Bản quyền &amp; Kỷ luật</t>
  </si>
  <si>
    <t xml:space="preserve">10%</t>
  </si>
  <si>
    <t xml:space="preserve">0 vi phạm brand/bản quyền · báo cáo đúng hạn</t>
  </si>
  <si>
    <t xml:space="preserve">Chuẩn mực &amp; 0 sự cố</t>
  </si>
  <si>
    <t xml:space="preserve">Duyệt / Pháp chế</t>
  </si>
  <si>
    <t xml:space="preserve">▌ V. YÊU CẦU CÔNG VIỆC</t>
  </si>
  <si>
    <t xml:space="preserve">NĂNG LỰC &amp; KỸ NĂNG CẦN CÓ</t>
  </si>
  <si>
    <t xml:space="preserve">KINH NGHIỆM &amp; HỌC VẤN</t>
  </si>
  <si>
    <t xml:space="preserve">✅  Viết &amp; sáng tạo nội dung đa định dạng (bài, caption, kịch bản, SEO/social, mô tả sản phẩm)</t>
  </si>
  <si>
    <t xml:space="preserve">⏱  Tối thiểu 1–2 năm content/social; ưu tiên đã quản trị kênh official &amp; tự edit</t>
  </si>
  <si>
    <t xml:space="preserve">✅  EDIT: tự dựng video ngắn (CapCut/Premiere), chỉnh ảnh (Photoshop/Canva), thiết kế cơ bản</t>
  </si>
  <si>
    <t xml:space="preserve">🎓  Cao đẳng/Đại học: Marketing/Truyền thông/Báo chí/Thiết kế hoặc tương đương</t>
  </si>
  <si>
    <t xml:space="preserve">✅  Quản trị &amp; vận hành kênh official (đăng bài, tương tác, community, đọc chỉ số kênh)</t>
  </si>
  <si>
    <t xml:space="preserve">🤖  THỜI ĐẠI AI: biết dùng công cụ AI (copy/ảnh/video) là yêu cầu, sẵn sàng học công cụ mới</t>
  </si>
  <si>
    <t xml:space="preserve">✅  Ứng dụng AI vào sản xuất nội dung (AI copy/ảnh/video, prompt cơ bản)</t>
  </si>
  <si>
    <t xml:space="preserve">📊  Biết đọc chỉ số cơ bản (reach/engagement/CTR) &amp; tối ưu theo dữ liệu</t>
  </si>
  <si>
    <t xml:space="preserve">✅  Gu thẩm mỹ tốt; bắt trend nhanh; hiểu nhận diện thương hiệu &amp; storytelling</t>
  </si>
  <si>
    <t xml:space="preserve">🗣️  Giao tiếp tốt (kể cả với khách trên kênh); tông giọng phù hợp brand</t>
  </si>
  <si>
    <t xml:space="preserve">✅  Tuân thủ brand &amp; bản quyền; lưu trữ tài sản số gọn gàng</t>
  </si>
  <si>
    <t xml:space="preserve">⚡  Sáng tạo, chủ động, bắt trend, kỷ luật deadline, hands-on (tự làm được A-Z)</t>
  </si>
  <si>
    <t xml:space="preserve">▌ VI. NĂNG LỰC CẦN CÓ (Theo Khung Năng Lực Hùng Phát)</t>
  </si>
  <si>
    <t xml:space="preserve">Mức cấp tối thiểu khi nhận vị trí: Cấp 2-3 (đào tạo được nếu gu &amp; tố chất tốt) | BẮT BUỘC: tự EDIT được (N2) + biết dùng công cụ AI (N4) — không chỉ viết</t>
  </si>
  <si>
    <t xml:space="preserve">NHÓM NL</t>
  </si>
  <si>
    <t xml:space="preserve">TÊN NHÓM NĂNG LỰC</t>
  </si>
  <si>
    <t xml:space="preserve">CẤP TỐI THIỂU</t>
  </si>
  <si>
    <t xml:space="preserve">MÔ TẢ CẤP 3 – ĐẠT YÊU CẦU ✅</t>
  </si>
  <si>
    <t xml:space="preserve">CẤP MỤC TIÊU SAU 1 NĂM</t>
  </si>
  <si>
    <t xml:space="preserve">N1</t>
  </si>
  <si>
    <t xml:space="preserve">Sáng tạo &amp; Sản xuất Nội dung</t>
  </si>
  <si>
    <t xml:space="preserve">Cấp 3</t>
  </si>
  <si>
    <t xml:space="preserve">Lên ý tưởng &amp; viết nội dung đa định dạng theo brand &amp; calendar; bám insight &amp; trend; chuẩn SEO/social.</t>
  </si>
  <si>
    <t xml:space="preserve">Cấp 4</t>
  </si>
  <si>
    <t xml:space="preserve">N2</t>
  </si>
  <si>
    <t xml:space="preserve">EDIT: Dựng video &amp; Chỉnh ảnh/Thiết kế cơ bản</t>
  </si>
  <si>
    <t xml:space="preserve">22%</t>
  </si>
  <si>
    <t xml:space="preserve">Tự dựng video ngắn (cắt/nhạc/sub/hiệu ứng) &amp; chỉnh ảnh/thiết kế cơ bản đạt chuẩn brand &amp; deadline.</t>
  </si>
  <si>
    <t xml:space="preserve">N3</t>
  </si>
  <si>
    <t xml:space="preserve">Quản trị &amp; Vận hành Kênh Official</t>
  </si>
  <si>
    <t xml:space="preserve">Đăng đúng lịch/định dạng, tương tác &amp; chăm cộng đồng đúng tông brand &amp; SLA, theo dõi chỉ số kênh.</t>
  </si>
  <si>
    <t xml:space="preserve">N4</t>
  </si>
  <si>
    <t xml:space="preserve">Ứng dụng AI &amp; Khai thác Công cụ/Kênh AI</t>
  </si>
  <si>
    <t xml:space="preserve">Dùng AI (copy/ảnh/video) tăng năng suất; khai thác công cụ/kênh AI đúng phạm vi; kiểm soát rủi ro nội dung AI.</t>
  </si>
  <si>
    <t xml:space="preserve">N5</t>
  </si>
  <si>
    <t xml:space="preserve">Đo lường Hiệu quả &amp; Tối ưu Nội dung</t>
  </si>
  <si>
    <t xml:space="preserve">Theo dõi analytics (reach/engagement/CTR/chuyển đổi), hiểu vì sao thắng/thua, thử nghiệm &amp; tối ưu.</t>
  </si>
  <si>
    <t xml:space="preserve">N6</t>
  </si>
  <si>
    <t xml:space="preserve">Tư duy &amp; Thái độ (Sáng tạo, Kỷ luật, Brand-safe)</t>
  </si>
  <si>
    <t xml:space="preserve">8%</t>
  </si>
  <si>
    <t xml:space="preserve">Sáng tạo, bắt trend &amp; chủ động học công cụ mới; kỷ luật deadline; tuân thủ brand &amp; bản quyền.</t>
  </si>
  <si>
    <t xml:space="preserve">▌ VII. QUYỀN HẠN &amp; GIỚI HẠN THẨM QUYỀN</t>
  </si>
  <si>
    <t xml:space="preserve">Cột XANH ✅ = tự quyết, chịu trách nhiệm toàn bộ kết quả.   Cột CAM ⚠️ = PHẢI BÁO CÁO hoặc XIN PHÊ DUYỆT trước khi hành động — vi phạm = vi phạm kỷ luật.</t>
  </si>
  <si>
    <t xml:space="preserve">✅  ĐƯỢC PHÉP TỰ QUYẾT ĐỊNH</t>
  </si>
  <si>
    <t xml:space="preserve">⚠️  PHẢI BÁO CÁO / XIN PHÊ DUYỆT TRƯỚC</t>
  </si>
  <si>
    <t xml:space="preserve">THẨM QUYỀN PHÊ DUYỆT</t>
  </si>
  <si>
    <t xml:space="preserve">NỘI DUNG, EDIT &amp; KÊNH OFFICIAL</t>
  </si>
  <si>
    <t xml:space="preserve">✅  Quyết định cách thể hiện nội dung/edit (định dạng, kịch bản, dựng) trong brief &amp; brand đã duyệt</t>
  </si>
  <si>
    <t xml:space="preserve">⚠️  Nội dung lớn/nhạy cảm; thay đổi định vị/tông kênh; phát ngôn thương hiệu</t>
  </si>
  <si>
    <t xml:space="preserve">TN Content / TP MKT</t>
  </si>
  <si>
    <t xml:space="preserve">✅  Đăng bài lên kênh official theo lịch &amp; nội dung đã được duyệt; tương tác/trả lời trong kịch bản &amp; SLA</t>
  </si>
  <si>
    <t xml:space="preserve">⚠️  Đăng nội dung chưa duyệt; trả lời tình huống nhạy cảm/khủng hoảng; xử lý khiếu nại lớn</t>
  </si>
  <si>
    <t xml:space="preserve">AI, CÔNG CỤ &amp; BẢN QUYỀN</t>
  </si>
  <si>
    <t xml:space="preserve">✅  Dùng công cụ AI/edit trong danh mục được duyệt &amp; prompt library của nhóm</t>
  </si>
  <si>
    <t xml:space="preserve">⚠️  Mua công cụ/tài sản (nhạc/ảnh/font) trả phí; dùng tài sản có rủi ro bản quyền</t>
  </si>
  <si>
    <t xml:space="preserve">✅  Tạo nội dung bằng AI nhưng PHẢI review trước đăng (đúng sự thật, bản quyền, brand-safe)</t>
  </si>
  <si>
    <t xml:space="preserve">⚠️  Đăng nội dung AI chưa kiểm chứng; nội dung AI có rủi ro pháp lý/thương hiệu</t>
  </si>
  <si>
    <t xml:space="preserve">DỮ LIỆU &amp; PHỐI HỢP</t>
  </si>
  <si>
    <t xml:space="preserve">✅  Quản trị &amp; lưu trữ tài sản số (file gốc, footage, template) phần việc của mình</t>
  </si>
  <si>
    <t xml:space="preserve">⚠️  Xóa/chuyển giao tài sản số quan trọng của kênh; cấp quyền truy cập kênh</t>
  </si>
  <si>
    <t xml:space="preserve">✅  Đề xuất ý tưởng nội dung &amp; cải thiện kênh; phản ánh nhu cầu lên TN Content</t>
  </si>
  <si>
    <t xml:space="preserve">⚠️  Cam kết với khách/đối tác trên kênh ngoài thẩm quyền</t>
  </si>
  <si>
    <t xml:space="preserve">▌ VIII. LỘ TRÌNH PHÁT TRIỂN</t>
  </si>
  <si>
    <t xml:space="preserve">GIAI ĐOẠN</t>
  </si>
  <si>
    <t xml:space="preserve">VỊ TRÍ TIẾP THEO</t>
  </si>
  <si>
    <t xml:space="preserve">ĐIỀU KIỆN THĂNG TIẾN</t>
  </si>
  <si>
    <t xml:space="preserve">KPI CHỨNG MINH</t>
  </si>
  <si>
    <t xml:space="preserve">NGƯỜI PHÊ DUYỆT</t>
  </si>
  <si>
    <t xml:space="preserve">THỜI GIAN</t>
  </si>
  <si>
    <t xml:space="preserve">Hiện tại</t>
  </si>
  <si>
    <t xml:space="preserve">Nhân viên Content (kiêm Edit &amp; Quản trị kênh Official)</t>
  </si>
  <si>
    <t xml:space="preserve">Đang đảm nhận vị trí</t>
  </si>
  <si>
    <t xml:space="preserve">Nội dung đạt brand &amp; hiệu quả ≥ KH; tự edit &amp; dùng AI tốt; kênh official tăng trưởng; 0 vi phạm bản quyền</t>
  </si>
  <si>
    <t xml:space="preserve">TN Content/TP MKT</t>
  </si>
  <si>
    <t xml:space="preserve">Đang triển khai</t>
  </si>
  <si>
    <t xml:space="preserve">12–18 tháng</t>
  </si>
  <si>
    <t xml:space="preserve">NV Content Senior / Chuyên viên Content</t>
  </si>
  <si>
    <t xml:space="preserve">Hiệu quả &amp; năng suất ≥ 110% KH; làm chủ edit + AI + kênh official; bắt trend tốt</t>
  </si>
  <si>
    <t xml:space="preserve">Hiệu quả nội dung +15% YoY; kênh tăng mạnh</t>
  </si>
  <si>
    <t xml:space="preserve">18–36 tháng</t>
  </si>
  <si>
    <t xml:space="preserve">Trưởng nhóm Content / Content Lead</t>
  </si>
  <si>
    <t xml:space="preserve">Tố chất dẫn dắt; chuẩn hóa quy trình content-edit-AI; kèm được NV mới</t>
  </si>
  <si>
    <t xml:space="preserve">Quản 1 nhóm; KPI nhóm đạt</t>
  </si>
  <si>
    <t xml:space="preserve">TP MKT</t>
  </si>
  <si>
    <t xml:space="preserve">2–3 năm</t>
  </si>
  <si>
    <t xml:space="preserve">36 tháng+</t>
  </si>
  <si>
    <t xml:space="preserve">Phụ trách Nội dung / Quản lý Sản xuất</t>
  </si>
  <si>
    <t xml:space="preserve">Năng lực quản trị mảng nội dung-sản xuất đa kênh</t>
  </si>
  <si>
    <t xml:space="preserve">Kết quả mảng bền vững</t>
  </si>
  <si>
    <t xml:space="preserve">GĐ MKT</t>
  </si>
  <si>
    <t xml:space="preserve">3+ năm</t>
  </si>
  <si>
    <t xml:space="preserve">▌ IX. XÁC NHẬN &amp; HIỆU LỰC</t>
  </si>
  <si>
    <t xml:space="preserve">Tài liệu nội bộ – CTCP Hùng Phát  |  Không phổ biến ra ngoài  |  Lưu trữ tại HR &amp; NV Content</t>
  </si>
  <si>
    <t xml:space="preserve">NGƯỜI ĐƯỢC BỔ NHIỆM (Đọc, hiểu &amp; cam kết)</t>
  </si>
  <si>
    <t xml:space="preserve">GĐHR XÁC NHẬN (Đúng khung NL &amp; quy trình)</t>
  </si>
  <si>
    <t xml:space="preserve">TN Content / TP Marketing PHÊ DUYỆT (Ký &amp; đóng dấu)</t>
  </si>
  <si>
    <t xml:space="preserve">Họ tên: ____________________
Chức danh: Nhân viên Content (kiêm Edit &amp; Quản trị kênh Official)
Ngày ký: ___/___/______</t>
  </si>
  <si>
    <t xml:space="preserve">Họ tên: ____________________
Chức danh: Giám đốc HR
Ngày ký: ___/___/______</t>
  </si>
  <si>
    <t xml:space="preserve">Họ tên: ____________________
Chức danh: TN Content / TP Marketing
Ngày ký: ___/___/______</t>
  </si>
  <si>
    <t xml:space="preserve">Ngày hiệu lực của JD này: ___/___/______    |    Kỳ review tiếp theo: ___/___/______    |    Người lưu trữ: GĐHR</t>
  </si>
  <si>
    <t xml:space="preserve">KHUNG NĂNG LỰC – NHÂN VIÊN CONTENT (KIÊM EDIT &amp; QUẢN TRỊ KÊNH OFFICIAL)</t>
  </si>
  <si>
    <t xml:space="preserve">CTCP Hùng Phát | 6 Nhóm NL | Trọng số theo vị trí | Thang 4 cấp</t>
  </si>
  <si>
    <t xml:space="preserve">▌ THANG 4 CẤP &amp; TRỌNG SỐ</t>
  </si>
  <si>
    <t xml:space="preserve">NHÓM NĂNG LỰC</t>
  </si>
  <si>
    <t xml:space="preserve">MỤC TIÊU 6 THÁNG</t>
  </si>
  <si>
    <t xml:space="preserve">MỤC TIÊU 1 NĂM</t>
  </si>
  <si>
    <t xml:space="preserve">Cấp 3-4</t>
  </si>
  <si>
    <t xml:space="preserve">TỔNG</t>
  </si>
  <si>
    <t xml:space="preserve">100%</t>
  </si>
  <si>
    <t xml:space="preserve">Điểm ≥ 3.0 để đạt</t>
  </si>
  <si>
    <t xml:space="preserve">Điểm ≥ 3.3 sau 6T</t>
  </si>
  <si>
    <t xml:space="preserve">Điểm ≥ 3.5 sau 1 năm</t>
  </si>
  <si>
    <t xml:space="preserve">▌ MÔ TẢ HÀNH VI 4 CẤP THEO NHÓM NĂNG LỰC</t>
  </si>
  <si>
    <t xml:space="preserve">TIÊU CHÍ</t>
  </si>
  <si>
    <t xml:space="preserve">CẤP 1 – Cần phát triển ❌</t>
  </si>
  <si>
    <t xml:space="preserve">CẤP 2 – Đang phát triển ⚠️</t>
  </si>
  <si>
    <t xml:space="preserve">CẤP 3 – Đạt yêu cầu ✅</t>
  </si>
  <si>
    <t xml:space="preserve">CẤP 4 – Xuất sắc ⭐</t>
  </si>
  <si>
    <t xml:space="preserve">NHÓM N1 – SÁNG TẠO &amp; SẢN XUẤT NỘI DUNG (25%)</t>
  </si>
  <si>
    <t xml:space="preserve">Lên ý tưởng &amp; viết nội dung</t>
  </si>
  <si>
    <t xml:space="preserve">Ý tưởng nghèo nàn; viết sai chính tả/sự thật; nhạt; lệch brand.</t>
  </si>
  <si>
    <t xml:space="preserve">Viết được nhưng chưa nổi bật; cần sửa nhiều.</t>
  </si>
  <si>
    <t xml:space="preserve">Lên ý tưởng &amp; viết đa định dạng đạt brand, đúng &amp; hấp dẫn; sản lượng ≥ KH.</t>
  </si>
  <si>
    <t xml:space="preserve">Ý tưởng sáng tạo nổi bật, đúng insight; là nguồn ý tưởng cho nhóm.</t>
  </si>
  <si>
    <t xml:space="preserve">Bám insight &amp; bắt trend</t>
  </si>
  <si>
    <t xml:space="preserve">Không nắm trend/insight; nội dung lạc tệp.</t>
  </si>
  <si>
    <t xml:space="preserve">Bắt trend chậm; insight chung chung.</t>
  </si>
  <si>
    <t xml:space="preserve">Bám insight khách &amp; bắt trend kịp; nội dung đúng tệp, tương tác ≥ KH.</t>
  </si>
  <si>
    <t xml:space="preserve">Đón đầu trend; biến trend thành nội dung thắng cho brand.</t>
  </si>
  <si>
    <t xml:space="preserve">Viết chuẩn SEO/social</t>
  </si>
  <si>
    <t xml:space="preserve">Không biết chuẩn SEO/social; tiêu đề/mô tả yếu.</t>
  </si>
  <si>
    <t xml:space="preserve">Biết cơ bản nhưng chưa tối ưu.</t>
  </si>
  <si>
    <t xml:space="preserve">Viết chuẩn SEO/social (tiêu đề/mô tả/từ khóa); cải thiện hiển thị.</t>
  </si>
  <si>
    <t xml:space="preserve">Tối ưu SEO/social hiệu quả; nội dung lên top/tiếp cận tốt.</t>
  </si>
  <si>
    <t xml:space="preserve">NHÓM N2 – EDIT: DỰNG VIDEO &amp; CHỈNH ẢNH / THIẾT KẾ CƠ BẢN (22%)</t>
  </si>
  <si>
    <t xml:space="preserve">Dựng video ngắn</t>
  </si>
  <si>
    <t xml:space="preserve">Không tự dựng được; phụ thuộc hoàn toàn người khác.</t>
  </si>
  <si>
    <t xml:space="preserve">Dựng cơ bản nhưng chậm/lỗi; chất lượng trung bình.</t>
  </si>
  <si>
    <t xml:space="preserve">Tự dựng short/reels/clip (cắt/nhạc/sub/hiệu ứng) đạt chuẩn, đúng deadline &amp; xu hướng.</t>
  </si>
  <si>
    <t xml:space="preserve">Dựng nhanh &amp; chất lượng cao; làm chủ xu hướng; sản phẩm nổi bật.</t>
  </si>
  <si>
    <t xml:space="preserve">Chỉnh ảnh &amp; thiết kế cơ bản</t>
  </si>
  <si>
    <t xml:space="preserve">Không chỉnh được ảnh/thiết kế; lệch brand.</t>
  </si>
  <si>
    <t xml:space="preserve">Chỉnh/thiết kế cơ bản nhưng chưa chuẩn brand.</t>
  </si>
  <si>
    <t xml:space="preserve">Chỉnh ảnh &amp; thiết kế post/banner cơ bản đạt brand &amp; chất lượng.</t>
  </si>
  <si>
    <t xml:space="preserve">Thiết kế đẹp &amp; sáng tạo trong khuôn khổ brand; tự chủ phần lớn.</t>
  </si>
  <si>
    <t xml:space="preserve">Quay-chụp &amp; xử lý tư liệu</t>
  </si>
  <si>
    <t xml:space="preserve">Không có tư liệu/chất lượng kém; phụ thuộc.</t>
  </si>
  <si>
    <t xml:space="preserve">Quay-chụp cơ bản; hậu kỳ sơ sài.</t>
  </si>
  <si>
    <t xml:space="preserve">Tự/phối hợp quay-chụp tư liệu sản phẩm &amp; xử lý hậu kỳ đạt chuẩn kênh.</t>
  </si>
  <si>
    <t xml:space="preserve">Tạo tư liệu chất lượng cao; chủ động có 'kho' tư liệu cho nội dung.</t>
  </si>
  <si>
    <t xml:space="preserve">NHÓM N3 – QUẢN TRỊ &amp; VẬN HÀNH KÊNH OFFICIAL (18%)</t>
  </si>
  <si>
    <t xml:space="preserve">Vận hành &amp; đăng bài đúng lịch</t>
  </si>
  <si>
    <t xml:space="preserve">Đăng trễ/sai kênh/sai định dạng; nhịp đăng thất thường.</t>
  </si>
  <si>
    <t xml:space="preserve">Đăng được nhưng đôi khi trễ/sai sót.</t>
  </si>
  <si>
    <t xml:space="preserve">Đăng đúng lịch/định dạng/kênh; giữ nhịp đăng đều; 0 sự cố đăng nhầm.</t>
  </si>
  <si>
    <t xml:space="preserve">Vận hành kênh trơn tru, chủ động lịch &amp; dự phòng nội dung.</t>
  </si>
  <si>
    <t xml:space="preserve">Tương tác &amp; chăm cộng đồng</t>
  </si>
  <si>
    <t xml:space="preserve">Bỏ comment/inbox; trả lời sai tông/gây tranh cãi.</t>
  </si>
  <si>
    <t xml:space="preserve">Trả lời được nhưng chậm/chưa đúng tông brand.</t>
  </si>
  <si>
    <t xml:space="preserve">Trả lời comment/inbox đúng tông brand &amp; SLA; chuyển đơn/khiếu nại đúng nơi.</t>
  </si>
  <si>
    <t xml:space="preserve">Nuôi cộng đồng gắn kết; biến tương tác thành thiện cảm &amp; chuyển đổi.</t>
  </si>
  <si>
    <t xml:space="preserve">Theo dõi chỉ số &amp; sức khỏe kênh</t>
  </si>
  <si>
    <t xml:space="preserve">Không nhìn chỉ số kênh; không biết kênh tăng/giảm.</t>
  </si>
  <si>
    <t xml:space="preserve">Có xem nhưng không hành động.</t>
  </si>
  <si>
    <t xml:space="preserve">Theo dõi &amp; báo cáo chỉ số kênh; kênh tăng trưởng ≥ KH.</t>
  </si>
  <si>
    <t xml:space="preserve">Đọc sâu chỉ số; chủ động hành động giúp kênh tăng trưởng mạnh.</t>
  </si>
  <si>
    <t xml:space="preserve">NHÓM N4 – ỨNG DỤNG AI &amp; KHAI THÁC CÔNG CỤ/KÊNH AI (15%)</t>
  </si>
  <si>
    <t xml:space="preserve">Dùng AI tăng năng suất</t>
  </si>
  <si>
    <t xml:space="preserve">Không/ngại dùng AI; sản xuất thủ công chậm.</t>
  </si>
  <si>
    <t xml:space="preserve">Dùng AI lác đác; chưa khai thác để tăng năng suất.</t>
  </si>
  <si>
    <t xml:space="preserve">Dùng AI (copy/ảnh/video) hiệu quả; năng suất tăng ≥ KH, chất lượng vẫn đạt.</t>
  </si>
  <si>
    <t xml:space="preserve">Khai thác AI sáng tạo &amp; bài bản; tiết kiệm thời gian rõ; chia sẻ cho nhóm.</t>
  </si>
  <si>
    <t xml:space="preserve">Khai thác công cụ/kênh AI</t>
  </si>
  <si>
    <t xml:space="preserve">Không biết công cụ AI; không cập nhật.</t>
  </si>
  <si>
    <t xml:space="preserve">Biết vài công cụ nhưng dùng hạn chế.</t>
  </si>
  <si>
    <t xml:space="preserve">Khai thác công cụ/kênh AI (gợi ý ý tưởng, hỗ trợ trả lời) đúng phạm vi &amp; hiệu quả.</t>
  </si>
  <si>
    <t xml:space="preserve">Cập nhật &amp; thử công cụ AI mới; tối ưu quy trình bằng AI.</t>
  </si>
  <si>
    <t xml:space="preserve">Kiểm soát rủi ro nội dung AI</t>
  </si>
  <si>
    <t xml:space="preserve">Đăng nội dung AI chưa kiểm; sai sự thật/bản quyền.</t>
  </si>
  <si>
    <t xml:space="preserve">Có kiểm nhưng chưa chặt; đôi khi lọt lỗi.</t>
  </si>
  <si>
    <t xml:space="preserve">Review trước đăng; 0 nội dung AI sai sự thật/vi phạm bản quyền ra ngoài.</t>
  </si>
  <si>
    <t xml:space="preserve">Chuẩn mực kiểm soát AI brand-safe; phát hiện rủi ro sớm.</t>
  </si>
  <si>
    <t xml:space="preserve">NHÓM N5 – ĐO LƯỜNG HIỆU QUẢ &amp; TỐI ƯU NỘI DUNG (12%)</t>
  </si>
  <si>
    <t xml:space="preserve">Theo dõi &amp; đọc hiệu quả</t>
  </si>
  <si>
    <t xml:space="preserve">Đăng xong là xong; không nhìn số liệu.</t>
  </si>
  <si>
    <t xml:space="preserve">Có xem số nhưng không hiểu vì sao thắng/thua.</t>
  </si>
  <si>
    <t xml:space="preserve">Theo dõi reach/engagement/CTR/chuyển đổi; hiểu nguyên nhân &amp; rút bài học.</t>
  </si>
  <si>
    <t xml:space="preserve">Đọc sâu hành vi; gắn nội dung với kết quả; đề xuất hướng nội dung mới.</t>
  </si>
  <si>
    <t xml:space="preserve">Thử nghiệm &amp; tối ưu</t>
  </si>
  <si>
    <t xml:space="preserve">Không thử; lặp nội dung kém hiệu quả.</t>
  </si>
  <si>
    <t xml:space="preserve">Thỉnh thoảng thử nhưng không hệ thống.</t>
  </si>
  <si>
    <t xml:space="preserve">≥ 1 thử nghiệm (A/B)/chu kỳ; áp dụng tối ưu; nhân bản nội dung thắng.</t>
  </si>
  <si>
    <t xml:space="preserve">Văn hóa test-tối ưu; tỷ lệ nội dung 'thắng' tăng rõ.</t>
  </si>
  <si>
    <t xml:space="preserve">NHÓM N6 – TƯ DUY &amp; THÁI ĐỘ (SÁNG TẠO, KỶ LUẬT, BRAND-SAFE) (8%)</t>
  </si>
  <si>
    <t xml:space="preserve">Sáng tạo &amp; chủ động học công cụ</t>
  </si>
  <si>
    <t xml:space="preserve">Bảo thủ; ngại cái mới; chờ giao mới làm.</t>
  </si>
  <si>
    <t xml:space="preserve">Có sáng tạo nhưng chưa chủ động cập nhật công cụ/trend.</t>
  </si>
  <si>
    <t xml:space="preserve">Sáng tạo, bắt trend &amp; chủ động học công cụ/AI mới; áp dụng vào sản xuất.</t>
  </si>
  <si>
    <t xml:space="preserve">Tác nhân đổi mới; truyền cảm hứng sáng tạo &amp; học hỏi.</t>
  </si>
  <si>
    <t xml:space="preserve">Kỷ luật deadline &amp; tuân thủ brand/bản quyền</t>
  </si>
  <si>
    <t xml:space="preserve">Trễ deadline; coi nhẹ brand/bản quyền; gây rủi ro.</t>
  </si>
  <si>
    <t xml:space="preserve">Cơ bản đúng nhưng đôi lúc trễ/lơ là.</t>
  </si>
  <si>
    <t xml:space="preserve">Giữ kỷ luật deadline; tuân thủ brand &amp; bản quyền; miss KPI có action ≤ 48h.</t>
  </si>
  <si>
    <t xml:space="preserve">Chuẩn mực kỷ luật &amp; tuân thủ; bảo vệ thương hiệu chủ động.</t>
  </si>
  <si>
    <t xml:space="preserve">PHIẾU ĐÁNH GIÁ NĂNG LỰC – NHÂN VIÊN CONTENT (KIÊM EDIT &amp; QUẢN TRỊ KÊNH OFFICIAL)</t>
  </si>
  <si>
    <t xml:space="preserve">CTCP Hùng Phát | Đánh giá định kỳ: Đầu vào / Quý / Cuối năm</t>
  </si>
  <si>
    <t xml:space="preserve">▌ THÔNG TIN</t>
  </si>
  <si>
    <t xml:space="preserve">Họ và tên:___________________________   Mã NV: ___________</t>
  </si>
  <si>
    <t xml:space="preserve">Chức danh: Nhân viên Content (kiêm Edit &amp; Quản trị kênh Official)   Bộ phận: Nhóm Content</t>
  </si>
  <si>
    <t xml:space="preserve">Ngày đánh giá: ___/___/______   Người đánh giá: _____________   Vị trí: TN Content/TP MKT</t>
  </si>
  <si>
    <t xml:space="preserve">Kỳ đánh giá: □ Đầu vào   □ Quý 1   □ Quý 2   □ Quý 3   □ Cuối năm</t>
  </si>
  <si>
    <t xml:space="preserve">▌ HƯỚNG DẪN: Ghi số cấp (1-4) vào cột 'Cấp hiện tại' + bằng chứng cụ thể quan sát được. Điểm ≥ 3.0 = Đạt yêu cầu vị trí NV Content.</t>
  </si>
  <si>
    <t xml:space="preserve">TIÊU CHÍ ĐÁNH GIÁ</t>
  </si>
  <si>
    <t xml:space="preserve">BẰNG CHỨNG / VÍ DỤ QUAN SÁT ĐƯỢC</t>
  </si>
  <si>
    <t xml:space="preserve">CẤP (1-4)</t>
  </si>
  <si>
    <t xml:space="preserve">HÀNH ĐỘNG PHÁT TRIỂN</t>
  </si>
  <si>
    <t xml:space="preserve">NHÓM N1 – SÁNG TẠO &amp; SẢN XUẤT NỘI DUNG (Trọng số 25%)</t>
  </si>
  <si>
    <t xml:space="preserve">1.1  Lên ý tưởng &amp; viết nội dung</t>
  </si>
  <si>
    <t xml:space="preserve">1.2  Bám insight &amp; bắt trend</t>
  </si>
  <si>
    <t xml:space="preserve">1.3  Viết chuẩn SEO/social</t>
  </si>
  <si>
    <t xml:space="preserve">→</t>
  </si>
  <si>
    <t xml:space="preserve">ĐIỂM TRUNG BÌNH NHÓM N1</t>
  </si>
  <si>
    <t xml:space="preserve">_____ / 4.0</t>
  </si>
  <si>
    <t xml:space="preserve">NHÓM N2 – EDIT: DỰNG VIDEO &amp; CHỈNH ẢNH/THIẾT KẾ (Trọng số 22%)</t>
  </si>
  <si>
    <t xml:space="preserve">2.1  Dựng video ngắn</t>
  </si>
  <si>
    <t xml:space="preserve">2.2  Chỉnh ảnh &amp; thiết kế cơ bản</t>
  </si>
  <si>
    <t xml:space="preserve">2.3  Quay-chụp &amp; xử lý tư liệu</t>
  </si>
  <si>
    <t xml:space="preserve">ĐIỂM TRUNG BÌNH NHÓM N2</t>
  </si>
  <si>
    <t xml:space="preserve">NHÓM N3 – QUẢN TRỊ &amp; VẬN HÀNH KÊNH OFFICIAL (Trọng số 18%)</t>
  </si>
  <si>
    <t xml:space="preserve">3.1  Vận hành &amp; đăng bài đúng lịch</t>
  </si>
  <si>
    <t xml:space="preserve">3.2  Tương tác &amp; chăm cộng đồng</t>
  </si>
  <si>
    <t xml:space="preserve">3.3  Theo dõi chỉ số &amp; sức khỏe kênh</t>
  </si>
  <si>
    <t xml:space="preserve">ĐIỂM TRUNG BÌNH NHÓM N3</t>
  </si>
  <si>
    <t xml:space="preserve">NHÓM N4 – ỨNG DỤNG AI &amp; KHAI THÁC CÔNG CỤ/KÊNH AI (Trọng số 15%)</t>
  </si>
  <si>
    <t xml:space="preserve">4.1  Dùng AI tăng năng suất</t>
  </si>
  <si>
    <t xml:space="preserve">4.2  Khai thác công cụ/kênh AI</t>
  </si>
  <si>
    <t xml:space="preserve">4.3  Kiểm soát rủi ro nội dung AI</t>
  </si>
  <si>
    <t xml:space="preserve">ĐIỂM TRUNG BÌNH NHÓM N4</t>
  </si>
  <si>
    <t xml:space="preserve">NHÓM N5 – ĐO LƯỜNG HIỆU QUẢ &amp; TỐI ƯU NỘI DUNG (Trọng số 12%)</t>
  </si>
  <si>
    <t xml:space="preserve">5.1  Theo dõi &amp; đọc hiệu quả</t>
  </si>
  <si>
    <t xml:space="preserve">5.2  Thử nghiệm &amp; tối ưu</t>
  </si>
  <si>
    <t xml:space="preserve">ĐIỂM TRUNG BÌNH NHÓM N5</t>
  </si>
  <si>
    <t xml:space="preserve">NHÓM N6 – TƯ DUY &amp; THÁI ĐỘ (SÁNG TẠO, KỶ LUẬT, BRAND-SAFE) (Trọng số 8%)</t>
  </si>
  <si>
    <t xml:space="preserve">6.1  Sáng tạo &amp; chủ động học công cụ</t>
  </si>
  <si>
    <t xml:space="preserve">6.2  Kỷ luật deadline &amp; tuân thủ brand/bản quyền</t>
  </si>
  <si>
    <t xml:space="preserve">ĐIỂM TRUNG BÌNH NHÓM N6</t>
  </si>
  <si>
    <t xml:space="preserve">▌ TỔNG KẾT ĐÁNH GIÁ</t>
  </si>
  <si>
    <t xml:space="preserve">ĐIỂM TỔNG HỢP CÓ TRỌNG SỐ: N1×25% + N2×22% + N3×18% + N4×15% + N5×12% + N6×8% = _____ / 4.0</t>
  </si>
  <si>
    <t xml:space="preserve">XẾP LOẠI:  □ Cần phát triển (&lt; 1.5)   □ Đang phát triển (1.5–2.49)   □ Đạt yêu cầu (2.5–3.49)   □ Xuất sắc (≥ 3.5)</t>
  </si>
  <si>
    <t xml:space="preserve">ĐIỂM MẠNH CẦN PHÁT HUY: ___________________________________________</t>
  </si>
  <si>
    <t xml:space="preserve">ĐIỂM CẦN CẢI THIỆN NGAY (ưu tiên top 1-2): _____________________________</t>
  </si>
  <si>
    <t xml:space="preserve">KẾ HOẠCH PHÁT TRIỂN 6 THÁNG TỚI: _____________________________________</t>
  </si>
  <si>
    <t xml:space="preserve">Người được đánh giá ký:_______________   Người đánh giá ký:_______________   Ngày: ___/___/______</t>
  </si>
  <si>
    <t xml:space="preserve">BỘ CÂU HỎI PHỎNG VẤN STAR – NHÂN VIÊN CONTENT (KIÊM EDIT &amp; QUẢN TRỊ KÊNH OFFICIAL)</t>
  </si>
  <si>
    <t xml:space="preserve">CTCP Hùng Phát | Panel 1–2 người | TN Content/TP MKT + (tùy chọn) Performance</t>
  </si>
  <si>
    <t xml:space="preserve">Hội đồng PV: TN Content/TP MKT + (tùy chọn) Performance. Thời gian: 45–60 phút. YÊU CẦU XEM PORTFOLIO (bài viết + video/ảnh tự edit + kênh đã quản trị) &amp; ví dụ dùng AI. Đánh giá cả tay nghề HANDS-ON (viết + edit + AI) lẫn vận hành kênh. Điểm ≥ 3.0 để đạt.</t>
  </si>
  <si>
    <t xml:space="preserve">CÂU HỎI PHỎNG VẤN (STAR)</t>
  </si>
  <si>
    <t xml:space="preserve">HƯỚNG DẪN ĐÁNH GIÁ &amp; CỜ ĐỎ</t>
  </si>
  <si>
    <t xml:space="preserve">ĐIỂM (1-4)</t>
  </si>
  <si>
    <t xml:space="preserve">GHI CHÚ QUAN SÁT</t>
  </si>
  <si>
    <t xml:space="preserve">N1/N2 – SẢN XUẤT KIÊM EDIT (QUAN TRỌNG)</t>
  </si>
  <si>
    <t xml:space="preserve">Cho xem 2-3 sản phẩm bạn TỰ làm A-Z (viết + quay/dựng video + chỉnh ảnh). Bạn làm từng khâu &amp; dùng công cụ gì?</t>
  </si>
  <si>
    <t xml:space="preserve">Tìm: Hands-on thực thụ — tự viết &amp; EDIT được, gu tốt, đúng brand.
🚩 Cờ đỏ: Chỉ viết không edit | Phụ thuộc người khác | Portfolio yếu</t>
  </si>
  <si>
    <t xml:space="preserve">Một video ngắn (reels/TikTok) cho sản phẩm vali mới: quy trình của bạn từ ý tưởng đến bản đăng là gì? Mất bao lâu?</t>
  </si>
  <si>
    <t xml:space="preserve">Tìm: Quy trình gọn, tự dựng, bắt trend, tối ưu thời gian.
🚩 Cờ đỏ: Không tự dựng được | Lê thê | Không bắt trend</t>
  </si>
  <si>
    <t xml:space="preserve">N3 – QUẢN TRỊ KÊNH OFFICIAL</t>
  </si>
  <si>
    <t xml:space="preserve">Bạn từng quản trị kênh official nào (fanpage/IG/TikTok/YouTube/sàn)? Lên lịch đăng &amp; nuôi kênh thế nào? Kết quả?</t>
  </si>
  <si>
    <t xml:space="preserve">Tìm: Vận hành kênh bài bản, lịch đăng, tăng trưởng, đọc chỉ số.
🚩 Cờ đỏ: Chưa quản kênh | Đăng tùy hứng | Không nhìn chỉ số</t>
  </si>
  <si>
    <t xml:space="preserve">Khi có comment/inbox tiêu cực hoặc khiếu nại trên kênh official, bạn xử lý thế nào?</t>
  </si>
  <si>
    <t xml:space="preserve">Tìm: Trả lời đúng tông brand, giữ bình tĩnh, chuyển đúng nơi, không gây khủng hoảng.
🚩 Cờ đỏ: Cãi với khách | Xóa bừa | Im lặng/để mặc</t>
  </si>
  <si>
    <t xml:space="preserve">N4 – AI (THỜI ĐẠI AI)</t>
  </si>
  <si>
    <t xml:space="preserve">Bạn dùng công cụ AI nào trong sản xuất nội dung (copy/ảnh/video)? Cho ví dụ AI giúp bạn tăng năng suất cụ thể.</t>
  </si>
  <si>
    <t xml:space="preserve">Tìm: Thành thạo &amp; cập nhật AI, tăng năng suất thực, giữ chất lượng.
🚩 Cờ đỏ: Không dùng AI | Ngại công cụ | Phụ thuộc AI mù quáng</t>
  </si>
  <si>
    <t xml:space="preserve">AI đôi khi tạo nội dung sai sự thật hoặc dính bản quyền. Bạn kiểm tra trước khi đăng thế nào?</t>
  </si>
  <si>
    <t xml:space="preserve">Tìm: Ý thức review trước đăng, kiểm sự thật &amp; bản quyền, brand-safe.
🚩 Cờ đỏ: Đăng thẳng nội dung AI | Không quan tâm bản quyền</t>
  </si>
  <si>
    <t xml:space="preserve">N5 – HIỆU QUẢ &amp; THÁI ĐỘ</t>
  </si>
  <si>
    <t xml:space="preserve">7</t>
  </si>
  <si>
    <t xml:space="preserve">Kể về một nội dung bạn làm đạt hiệu quả cao (hoặc thất bại). Bạn đo &amp; rút ra gì từ số liệu?</t>
  </si>
  <si>
    <t xml:space="preserve">Tìm: Đọc analytics, học từ dữ liệu, tối ưu.
🚩 Cờ đỏ: Không nhìn số | Không biết vì sao thắng/thua</t>
  </si>
  <si>
    <t xml:space="preserve">8</t>
  </si>
  <si>
    <t xml:space="preserve">Khi nhiều nội dung &amp; deadline dồn cùng lúc, bạn sắp xếp &amp; dùng AI/template thế nào để kịp mà vẫn chất lượng?</t>
  </si>
  <si>
    <t xml:space="preserve">Tìm: Ưu tiên, dùng AI/template tăng tốc, giữ chất lượng &amp; kỷ luật deadline.
🚩 Cờ đỏ: Để trễ | Bỏ chất lượng | Không có cách</t>
  </si>
  <si>
    <t xml:space="preserve">SCORE CARD TUYỂN DỤNG – NHÂN VIÊN CONTENT (KIÊM EDIT &amp; QUẢN TRỊ KÊNH OFFICIAL)</t>
  </si>
  <si>
    <t xml:space="preserve">CTCP Hùng Phát | Panel ≥ 3 người</t>
  </si>
  <si>
    <t xml:space="preserve">▌ THÔNG TIN ỨNG VIÊN</t>
  </si>
  <si>
    <t xml:space="preserve">Họ tên:</t>
  </si>
  <si>
    <t xml:space="preserve">Ngày PV:</t>
  </si>
  <si>
    <t xml:space="preserve">Người PV:</t>
  </si>
  <si>
    <t xml:space="preserve">Vị trí: Nhân viên Content (kiêm Edit &amp; Quản trị kênh Official) – HungPhat</t>
  </si>
  <si>
    <t xml:space="preserve">▌ BẢNG ĐIỂM NĂNG LỰC</t>
  </si>
  <si>
    <t xml:space="preserve">ĐIỂM TRỌNG SỐ</t>
  </si>
  <si>
    <t xml:space="preserve">MỨC ĐẠT TỐI THIỂU</t>
  </si>
  <si>
    <t xml:space="preserve">NHẬN XÉT PANEL</t>
  </si>
  <si>
    <t xml:space="preserve">N1 – Sáng tạo &amp; Sản xuất Nội dung</t>
  </si>
  <si>
    <t xml:space="preserve">Cấp 3 (3.0)</t>
  </si>
  <si>
    <t xml:space="preserve">N2 – EDIT: Dựng video &amp; Chỉnh ảnh/Thiết kế cơ bản</t>
  </si>
  <si>
    <t xml:space="preserve">N3 – Quản trị &amp; Vận hành Kênh Official</t>
  </si>
  <si>
    <t xml:space="preserve">N4 – Ứng dụng AI &amp; Khai thác Công cụ/Kênh AI</t>
  </si>
  <si>
    <t xml:space="preserve">N5 – Đo lường Hiệu quả &amp; Tối ưu Nội dung</t>
  </si>
  <si>
    <t xml:space="preserve">N6 – Tư duy &amp; Thái độ (Sáng tạo, Kỷ luật, Brand-safe)</t>
  </si>
  <si>
    <t xml:space="preserve">TỔNG ĐIỂM TRỌNG SỐ</t>
  </si>
  <si>
    <t xml:space="preserve">▌ ĐIỀU KIỆN LOẠI THẲNG</t>
  </si>
  <si>
    <t xml:space="preserve">🚫  Không tự EDIT được (chỉ viết, phụ thuộc người khác dựng video/chỉnh ảnh) → Loại — vị trí bắt buộc kiêm edit</t>
  </si>
  <si>
    <t xml:space="preserve">🚫  Điểm N2 (EDIT) &lt; 2.5 → Loại</t>
  </si>
  <si>
    <t xml:space="preserve">🚫  Không/ngại dùng công cụ AI &amp; không chịu học → Loại (thời đại AI bắt buộc)</t>
  </si>
  <si>
    <t xml:space="preserve">🚫  Portfolio yếu/không có sản phẩm tự làm A-Z để chứng minh tay nghề → Loại</t>
  </si>
  <si>
    <t xml:space="preserve">🚫  Coi nhẹ bản quyền/brand-safe (sẵn sàng đăng nội dung AI chưa kiểm) → Cân nhắc kỹ/Loại</t>
  </si>
  <si>
    <t xml:space="preserve">🚫  Tổng điểm trọng số &lt; 2.5 → Loại</t>
  </si>
  <si>
    <t xml:space="preserve">▌ KHUYẾN NGHỊ</t>
  </si>
  <si>
    <t xml:space="preserve">⭐ Điểm ≥ 3.5</t>
  </si>
  <si>
    <t xml:space="preserve">ƯU TIÊN CAO — Nhận ngay; có tố chất lên Senior/Trưởng nhóm</t>
  </si>
  <si>
    <t xml:space="preserve">✅ Điểm 3.0–3.49</t>
  </si>
  <si>
    <t xml:space="preserve">ĐẠT — Nhận được; đào tạo theo lộ trình; kèm sát edit/AI/kênh 1-2 tháng đầu</t>
  </si>
  <si>
    <t xml:space="preserve">⚠️ Điểm 2.5–2.99</t>
  </si>
  <si>
    <t xml:space="preserve">CÂN NHẮC — Chỉ nếu gu &amp; hands-on (viết+edit) tốt &amp; chịu học AI/kênh; thử việc rõ KPI</t>
  </si>
  <si>
    <t xml:space="preserve">❌ Điểm &lt; 2.5 hoặc không tự edit/không dùng AI</t>
  </si>
  <si>
    <t xml:space="preserve">LOẠI — Không phù hợp vị trí NV Content tại HungPhat</t>
  </si>
  <si>
    <t xml:space="preserve">KẾ HOẠCH 30 – 60 – 90 NGÀY – NHÂN VIÊN CONTENT (KIÊM EDIT &amp; QUẢN TRỊ KÊNH OFFICIAL)</t>
  </si>
  <si>
    <t xml:space="preserve">CTCP Hùng Phát | Cam kết 2 chiều: NV Content &amp; Công ty</t>
  </si>
  <si>
    <t xml:space="preserve">NV Content cam kết: Trực tiếp sản xuất &amp; tự edit · Dùng AI tăng năng suất · Vận hành kênh official đúng lịch &amp; tông brand · Review nội dung AI trước đăng (đúng sự thật &amp; bản quyền) · Báo cáo &amp; cập nhật chỉ số đúng hạn.</t>
  </si>
  <si>
    <t xml:space="preserve">Công ty cam kết: Bàn giao brand guidelines, quyền &amp; tài khoản kênh official, công cụ edit/AI, prompt library &amp; tài sản số tuần đầu · TN Content kèm cặp &amp; review · Hỗ trợ phối hợp Sản phẩm/Performance/CS · Cung cấp công cụ AI/edit cần thiết.</t>
  </si>
  <si>
    <t xml:space="preserve">TUẦN</t>
  </si>
  <si>
    <t xml:space="preserve">CHỦ ĐỀ</t>
  </si>
  <si>
    <t xml:space="preserve">HÀNH ĐỘNG CỤ THỂ</t>
  </si>
  <si>
    <t xml:space="preserve">NGƯỜI HỖ TRỢ</t>
  </si>
  <si>
    <t xml:space="preserve">HOÀN THÀNH</t>
  </si>
  <si>
    <t xml:space="preserve">GIAI ĐOẠN 1 – 30 NGÀY ĐẦU: HIỂU BRAND, KÊNH, CÔNG CỤ &amp; SẢN XUẤT THỬ</t>
  </si>
  <si>
    <t xml:space="preserve">Tuần 1</t>
  </si>
  <si>
    <t xml:space="preserve">Tiếp nhận &amp; Định hướng</t>
  </si>
  <si>
    <t xml:space="preserve">Gặp TN Content/TP MKT: nhận kỳ vọng (sản lượng, kênh, AI), KPI, thẩm quyền. Nhận brand guidelines, quyền kênh official, công cụ edit/AI.</t>
  </si>
  <si>
    <t xml:space="preserve">□</t>
  </si>
  <si>
    <t xml:space="preserve">Tuần 2</t>
  </si>
  <si>
    <t xml:space="preserve">Nắm brand, kênh &amp; công cụ</t>
  </si>
  <si>
    <t xml:space="preserve">Học nhận diện/tông giọng; nắm các kênh official &amp; chỉ số hiện tại; làm quen công cụ edit &amp; AI (prompt library).</t>
  </si>
  <si>
    <t xml:space="preserve">Tuần 3</t>
  </si>
  <si>
    <t xml:space="preserve">Sản xuất thử (viết + edit) &amp; đăng có giám sát</t>
  </si>
  <si>
    <t xml:space="preserve">Tự làm A-Z 1-2 nội dung (viết + dựng video/chỉnh ảnh); đăng kênh official dưới giám sát; trả lời tương tác cơ bản.</t>
  </si>
  <si>
    <t xml:space="preserve">Tuần 4</t>
  </si>
  <si>
    <t xml:space="preserve">Đánh giá 30 ngày</t>
  </si>
  <si>
    <t xml:space="preserve">Nắm brand-kênh-công cụ; tự sản xuất+edit cơ bản. TN Content đánh giá &amp; chỉ điểm cần cải thiện.</t>
  </si>
  <si>
    <t xml:space="preserve">DELIVERABLE GIAI ĐOẠN 1 ✅</t>
  </si>
  <si>
    <t xml:space="preserve">Deliverables bắt buộc</t>
  </si>
  <si>
    <t xml:space="preserve">✅ Thuộc brand, nắm kênh official &amp; chỉ số
✅ Dùng được công cụ edit &amp; AI (prompt library)
✅ Tự sản xuất A-Z ≥ 2 nội dung (có video) đạt brand &amp; đăng kênh</t>
  </si>
  <si>
    <t xml:space="preserve">GIAI ĐOẠN 2 – 31-60 NGÀY: VÀO NHỊP SẢN XUẤT &amp; VẬN HÀNH KÊNH</t>
  </si>
  <si>
    <t xml:space="preserve">Tuần 5-6</t>
  </si>
  <si>
    <t xml:space="preserve">Vào nhịp sản xuất &amp; đăng theo calendar</t>
  </si>
  <si>
    <t xml:space="preserve">Sản xuất đều theo calendar (viết + edit), đăng đúng lịch/định dạng; dùng AI tăng năng suất.</t>
  </si>
  <si>
    <t xml:space="preserve">Tuần 7</t>
  </si>
  <si>
    <t xml:space="preserve">Vận hành &amp; nuôi kênh official</t>
  </si>
  <si>
    <t xml:space="preserve">Tương tác/chăm cộng đồng đúng tông &amp; SLA; theo dõi chỉ số kênh; đề xuất nội dung tăng tương tác.</t>
  </si>
  <si>
    <t xml:space="preserve">Tuần 8</t>
  </si>
  <si>
    <t xml:space="preserve">Bắt trend &amp; thử định dạng mới</t>
  </si>
  <si>
    <t xml:space="preserve">Bắt ≥ 1 trend phù hợp brand; thử định dạng/nội dung mới; review AI trước đăng.</t>
  </si>
  <si>
    <t xml:space="preserve">DELIVERABLE GIAI ĐOẠN 2 ✅</t>
  </si>
  <si>
    <t xml:space="preserve">✅ Sản xuất &amp; đăng đều theo calendar; 100% đúng lịch
✅ Vận hành kênh official (tương tác/SLA) ổn định
✅ Dùng AI tăng năng suất + bắt ≥ 1 trend</t>
  </si>
  <si>
    <t xml:space="preserve">GIAI ĐOẠN 3 – 61-90 NGÀY: HIỆU QUẢ, TỐI ƯU &amp; CAM KẾT</t>
  </si>
  <si>
    <t xml:space="preserve">Tuần 9-10</t>
  </si>
  <si>
    <t xml:space="preserve">Đo hiệu quả &amp; tối ưu</t>
  </si>
  <si>
    <t xml:space="preserve">Theo dõi hiệu quả nội dung &amp; kênh; chạy ≥ 1 thử nghiệm (A/B); tối ưu &amp; nhân bản nội dung thắng.</t>
  </si>
  <si>
    <t xml:space="preserve">Tuần 11</t>
  </si>
  <si>
    <t xml:space="preserve">Chuẩn hóa quy trình cá nhân</t>
  </si>
  <si>
    <t xml:space="preserve">Hệ thống hóa quy trình sản xuất (ý tưởng→viết→edit→AI→duyệt→đăng) &amp; checklist brand/bản quyền của mình.</t>
  </si>
  <si>
    <t xml:space="preserve">Tuần 12</t>
  </si>
  <si>
    <t xml:space="preserve">Tổng kết 90 ngày</t>
  </si>
  <si>
    <t xml:space="preserve">Báo cáo: sản lượng, hiệu quả, tăng trưởng kênh, năng suất AI, bài học. Trình KPI 6 tháng tiếp.</t>
  </si>
  <si>
    <t xml:space="preserve">DELIVERABLE GIAI ĐOẠN 3 ✅</t>
  </si>
  <si>
    <t xml:space="preserve">✅ Nội dung &amp; kênh đạt hiệu quả ≥ KH; ≥ 1 thử nghiệm &amp; tối ưu
✅ Quy trình cá nhân (content+edit+AI) + checklist brand/bản quyền
✅ KPI 6 tháng tiếp được TN Content/TP MKT ký</t>
  </si>
  <si>
    <t xml:space="preserve">LỘ TRÌNH PHÁT TRIỂN – NHÂN VIÊN CONTENT (KIÊM EDIT &amp; QUẢN TRỊ KÊNH OFFICIAL)</t>
  </si>
  <si>
    <t xml:space="preserve">CTCP Hùng Phát | Lộ trình thăng tiến từ vị trí hiện tại</t>
  </si>
  <si>
    <t xml:space="preserve">Đang đảm nhận</t>
  </si>
  <si>
    <t xml:space="preserve">12-18 tháng</t>
  </si>
  <si>
    <t xml:space="preserve">Hiệu quả +15% YoY; kênh tăng mạnh</t>
  </si>
  <si>
    <t xml:space="preserve">18-36 tháng</t>
  </si>
  <si>
    <t xml:space="preserve">2-3 năm</t>
  </si>
  <si>
    <t xml:space="preserve">▌ ĐỂ ĐẠT THĂNG TIẾN NHANH HƠN – 3 ĐIỀU NÊN LÀM</t>
  </si>
  <si>
    <t xml:space="preserve">1. HANDS-ON ĐA NĂNG LÀ LỢI THẾ: Ai vừa viết hay vừa tự EDIT (video/ảnh) vừa dùng AI thành thạo → sản xuất nhanh &amp; chất lượng, tạo giá trị vượt trội, được ưu tiên lên Senior.</t>
  </si>
  <si>
    <t xml:space="preserve">2. KÊNH OFFICIAL TĂNG TRƯỞNG BẰNG SỐ THẬT: Ai vận hành &amp; nuôi kênh official tăng follow/engagement/chuyển đổi đo được → chứng minh năng lực thực, là cơ sở vững để thăng tiến.</t>
  </si>
  <si>
    <t xml:space="preserve">3. BẮT TREND &amp; CHỦ ĐỘNG HỌC AI: Ai bắt trend nhanh &amp; liên tục học công cụ AI/edit mới, chia sẻ cho nhóm → thể hiện tố chất dẫn dắt, mở đường lên Trưởng nhóm Content.</t>
  </si>
  <si>
    <t xml:space="preserve">▌ XÁC NHẬN &amp; HIỆU LỰC</t>
  </si>
  <si>
    <t xml:space="preserve">Người được bổ nhiệm xác nhận (Ký, ghi rõ họ tên):</t>
  </si>
  <si>
    <t xml:space="preserve">TN Content / TP Marketing phê duyệt (Ký, đóng dấu):</t>
  </si>
  <si>
    <t xml:space="preserve">Ngày hiệu lực: ___/___/______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</si>
</sst>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A3C6E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EEAF1"/>
        <bgColor rgb="FFD6E4F0"/>
      </patternFill>
    </fill>
    <fill>
      <patternFill patternType="solid">
        <fgColor rgb="FFFFFFFF"/>
        <bgColor rgb="FFF2F2F2"/>
      </patternFill>
    </fill>
    <fill>
      <patternFill patternType="solid">
        <fgColor rgb="FFE9F3FF"/>
        <bgColor rgb="FFF2F2F2"/>
      </patternFill>
    </fill>
    <fill>
      <patternFill patternType="solid">
        <fgColor rgb="FFF2F2F2"/>
        <bgColor rgb="FFE9F3FF"/>
      </patternFill>
    </fill>
    <fill>
      <patternFill patternType="solid">
        <fgColor rgb="FFFCE4E4"/>
        <bgColor rgb="FFF2F2F2"/>
      </patternFill>
    </fill>
    <fill>
      <patternFill patternType="solid">
        <fgColor rgb="FFFFF2CC"/>
        <bgColor rgb="FFFCE4E4"/>
      </patternFill>
    </fill>
    <fill>
      <patternFill patternType="solid">
        <fgColor rgb="FFE2EFDA"/>
        <bgColor rgb="FFDEEAF1"/>
      </patternFill>
    </fill>
    <fill>
      <patternFill patternType="solid">
        <fgColor rgb="FFD6E4F0"/>
        <bgColor rgb="FFDEEA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9F3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E2EFDA"/>
      <rgbColor rgb="FFF2F2F2"/>
      <rgbColor rgb="FF99CCFF"/>
      <rgbColor rgb="FFFF99CC"/>
      <rgbColor rgb="FFCC99FF"/>
      <rgbColor rgb="FFFCE4E4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A3C6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7"/>
    <col collapsed="false" customWidth="true" hidden="false" outlineLevel="0" max="3" min="3" style="0" width="31"/>
    <col collapsed="false" customWidth="true" hidden="false" outlineLevel="0" max="4" min="4" style="0" width="18"/>
    <col collapsed="false" customWidth="true" hidden="false" outlineLevel="0" max="5" min="5" style="0" width="34"/>
    <col collapsed="false" customWidth="true" hidden="false" outlineLevel="0" max="6" min="6" style="0" width="15.39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19.5" hidden="false" customHeight="true" outlineLevel="0" collapsed="false">
      <c r="A3" s="3" t="s">
        <v>2</v>
      </c>
      <c r="B3" s="3"/>
      <c r="C3" s="3"/>
      <c r="D3" s="3"/>
      <c r="E3" s="3"/>
      <c r="F3" s="3"/>
    </row>
    <row r="4" customFormat="false" ht="15" hidden="false" customHeight="true" outlineLevel="0" collapsed="false">
      <c r="A4" s="4" t="s">
        <v>3</v>
      </c>
      <c r="B4" s="5" t="s">
        <v>4</v>
      </c>
      <c r="C4" s="5"/>
      <c r="D4" s="5"/>
      <c r="E4" s="5"/>
      <c r="F4" s="5"/>
    </row>
    <row r="5" customFormat="false" ht="15" hidden="false" customHeight="true" outlineLevel="0" collapsed="false">
      <c r="A5" s="4" t="s">
        <v>5</v>
      </c>
      <c r="B5" s="5" t="s">
        <v>6</v>
      </c>
      <c r="C5" s="5"/>
      <c r="D5" s="5"/>
      <c r="E5" s="5"/>
      <c r="F5" s="5"/>
    </row>
    <row r="6" customFormat="false" ht="22.35" hidden="false" customHeight="true" outlineLevel="0" collapsed="false">
      <c r="A6" s="4" t="s">
        <v>7</v>
      </c>
      <c r="B6" s="5" t="s">
        <v>8</v>
      </c>
      <c r="C6" s="5"/>
      <c r="D6" s="5"/>
      <c r="E6" s="5"/>
      <c r="F6" s="5"/>
    </row>
    <row r="7" customFormat="false" ht="15" hidden="false" customHeight="true" outlineLevel="0" collapsed="false">
      <c r="A7" s="4" t="s">
        <v>9</v>
      </c>
      <c r="B7" s="5" t="s">
        <v>10</v>
      </c>
      <c r="C7" s="5"/>
      <c r="D7" s="5"/>
      <c r="E7" s="5"/>
      <c r="F7" s="5"/>
    </row>
    <row r="8" customFormat="false" ht="22.35" hidden="false" customHeight="true" outlineLevel="0" collapsed="false">
      <c r="A8" s="4" t="s">
        <v>11</v>
      </c>
      <c r="B8" s="5" t="s">
        <v>12</v>
      </c>
      <c r="C8" s="5"/>
      <c r="D8" s="5"/>
      <c r="E8" s="5"/>
      <c r="F8" s="5"/>
    </row>
    <row r="9" customFormat="false" ht="22.35" hidden="false" customHeight="true" outlineLevel="0" collapsed="false">
      <c r="A9" s="4" t="s">
        <v>13</v>
      </c>
      <c r="B9" s="5" t="s">
        <v>14</v>
      </c>
      <c r="C9" s="5"/>
      <c r="D9" s="5"/>
      <c r="E9" s="5"/>
      <c r="F9" s="5"/>
    </row>
    <row r="10" customFormat="false" ht="22.35" hidden="false" customHeight="true" outlineLevel="0" collapsed="false">
      <c r="A10" s="4" t="s">
        <v>15</v>
      </c>
      <c r="B10" s="5" t="s">
        <v>16</v>
      </c>
      <c r="C10" s="5"/>
      <c r="D10" s="5"/>
      <c r="E10" s="5"/>
      <c r="F10" s="5"/>
    </row>
    <row r="11" customFormat="false" ht="22.35" hidden="false" customHeight="true" outlineLevel="0" collapsed="false">
      <c r="A11" s="4" t="s">
        <v>17</v>
      </c>
      <c r="B11" s="5" t="s">
        <v>18</v>
      </c>
      <c r="C11" s="5"/>
      <c r="D11" s="5"/>
      <c r="E11" s="5"/>
      <c r="F11" s="5"/>
    </row>
    <row r="12" customFormat="false" ht="15" hidden="false" customHeight="true" outlineLevel="0" collapsed="false">
      <c r="A12" s="4" t="s">
        <v>19</v>
      </c>
      <c r="B12" s="5" t="s">
        <v>20</v>
      </c>
      <c r="C12" s="5"/>
      <c r="D12" s="5"/>
      <c r="E12" s="5"/>
      <c r="F12" s="5"/>
    </row>
    <row r="13" customFormat="false" ht="22.35" hidden="false" customHeight="true" outlineLevel="0" collapsed="false">
      <c r="A13" s="4" t="s">
        <v>21</v>
      </c>
      <c r="B13" s="5" t="s">
        <v>22</v>
      </c>
      <c r="C13" s="5"/>
      <c r="D13" s="5"/>
      <c r="E13" s="5"/>
      <c r="F13" s="5"/>
    </row>
    <row r="14" customFormat="false" ht="19.5" hidden="false" customHeight="true" outlineLevel="0" collapsed="false">
      <c r="A14" s="3" t="s">
        <v>23</v>
      </c>
      <c r="B14" s="3"/>
      <c r="C14" s="3"/>
      <c r="D14" s="3"/>
      <c r="E14" s="3"/>
      <c r="F14" s="3"/>
    </row>
    <row r="15" customFormat="false" ht="57.75" hidden="false" customHeight="true" outlineLevel="0" collapsed="false">
      <c r="A15" s="6" t="s">
        <v>24</v>
      </c>
      <c r="B15" s="6"/>
      <c r="C15" s="6"/>
      <c r="D15" s="6"/>
      <c r="E15" s="6"/>
      <c r="F15" s="6"/>
    </row>
    <row r="16" customFormat="false" ht="19.5" hidden="false" customHeight="true" outlineLevel="0" collapsed="false">
      <c r="A16" s="3" t="s">
        <v>25</v>
      </c>
      <c r="B16" s="3"/>
      <c r="C16" s="3"/>
      <c r="D16" s="3"/>
      <c r="E16" s="3"/>
      <c r="F16" s="3"/>
    </row>
    <row r="17" customFormat="false" ht="24" hidden="false" customHeight="true" outlineLevel="0" collapsed="false">
      <c r="A17" s="7" t="s">
        <v>26</v>
      </c>
      <c r="B17" s="7" t="s">
        <v>27</v>
      </c>
      <c r="C17" s="7" t="s">
        <v>28</v>
      </c>
      <c r="D17" s="7" t="s">
        <v>29</v>
      </c>
      <c r="E17" s="7" t="s">
        <v>30</v>
      </c>
      <c r="F17" s="7" t="s">
        <v>31</v>
      </c>
    </row>
    <row r="18" customFormat="false" ht="18" hidden="false" customHeight="true" outlineLevel="0" collapsed="false">
      <c r="A18" s="8" t="s">
        <v>32</v>
      </c>
      <c r="B18" s="8"/>
      <c r="C18" s="8"/>
      <c r="D18" s="8"/>
      <c r="E18" s="8"/>
      <c r="F18" s="8"/>
    </row>
    <row r="19" customFormat="false" ht="45.75" hidden="false" customHeight="true" outlineLevel="0" collapsed="false">
      <c r="A19" s="9" t="s">
        <v>33</v>
      </c>
      <c r="B19" s="5" t="s">
        <v>34</v>
      </c>
      <c r="C19" s="5" t="s">
        <v>35</v>
      </c>
      <c r="D19" s="10" t="s">
        <v>36</v>
      </c>
      <c r="E19" s="10" t="s">
        <v>37</v>
      </c>
      <c r="F19" s="10" t="s">
        <v>38</v>
      </c>
    </row>
    <row r="20" customFormat="false" ht="45.75" hidden="false" customHeight="true" outlineLevel="0" collapsed="false">
      <c r="A20" s="11" t="s">
        <v>39</v>
      </c>
      <c r="B20" s="12" t="s">
        <v>40</v>
      </c>
      <c r="C20" s="12" t="s">
        <v>41</v>
      </c>
      <c r="D20" s="13" t="s">
        <v>36</v>
      </c>
      <c r="E20" s="13" t="s">
        <v>42</v>
      </c>
      <c r="F20" s="13" t="s">
        <v>43</v>
      </c>
    </row>
    <row r="21" customFormat="false" ht="45.75" hidden="false" customHeight="true" outlineLevel="0" collapsed="false">
      <c r="A21" s="9" t="s">
        <v>44</v>
      </c>
      <c r="B21" s="5" t="s">
        <v>45</v>
      </c>
      <c r="C21" s="5" t="s">
        <v>46</v>
      </c>
      <c r="D21" s="10" t="s">
        <v>47</v>
      </c>
      <c r="E21" s="10" t="s">
        <v>48</v>
      </c>
      <c r="F21" s="10" t="s">
        <v>49</v>
      </c>
    </row>
    <row r="22" customFormat="false" ht="18" hidden="false" customHeight="true" outlineLevel="0" collapsed="false">
      <c r="A22" s="8" t="s">
        <v>50</v>
      </c>
      <c r="B22" s="8"/>
      <c r="C22" s="8"/>
      <c r="D22" s="8"/>
      <c r="E22" s="8"/>
      <c r="F22" s="8"/>
    </row>
    <row r="23" customFormat="false" ht="45.75" hidden="false" customHeight="true" outlineLevel="0" collapsed="false">
      <c r="A23" s="9" t="s">
        <v>51</v>
      </c>
      <c r="B23" s="5" t="s">
        <v>52</v>
      </c>
      <c r="C23" s="5" t="s">
        <v>53</v>
      </c>
      <c r="D23" s="10" t="s">
        <v>36</v>
      </c>
      <c r="E23" s="10" t="s">
        <v>54</v>
      </c>
      <c r="F23" s="10" t="s">
        <v>55</v>
      </c>
    </row>
    <row r="24" customFormat="false" ht="45.75" hidden="false" customHeight="true" outlineLevel="0" collapsed="false">
      <c r="A24" s="11" t="s">
        <v>56</v>
      </c>
      <c r="B24" s="12" t="s">
        <v>57</v>
      </c>
      <c r="C24" s="12" t="s">
        <v>58</v>
      </c>
      <c r="D24" s="13" t="s">
        <v>36</v>
      </c>
      <c r="E24" s="13" t="s">
        <v>59</v>
      </c>
      <c r="F24" s="13" t="s">
        <v>60</v>
      </c>
    </row>
    <row r="25" customFormat="false" ht="45.75" hidden="false" customHeight="true" outlineLevel="0" collapsed="false">
      <c r="A25" s="9" t="s">
        <v>61</v>
      </c>
      <c r="B25" s="5" t="s">
        <v>62</v>
      </c>
      <c r="C25" s="5" t="s">
        <v>63</v>
      </c>
      <c r="D25" s="10" t="s">
        <v>47</v>
      </c>
      <c r="E25" s="10" t="s">
        <v>64</v>
      </c>
      <c r="F25" s="10" t="s">
        <v>55</v>
      </c>
    </row>
    <row r="26" customFormat="false" ht="18" hidden="false" customHeight="true" outlineLevel="0" collapsed="false">
      <c r="A26" s="8" t="s">
        <v>65</v>
      </c>
      <c r="B26" s="8"/>
      <c r="C26" s="8"/>
      <c r="D26" s="8"/>
      <c r="E26" s="8"/>
      <c r="F26" s="8"/>
    </row>
    <row r="27" customFormat="false" ht="45.75" hidden="false" customHeight="true" outlineLevel="0" collapsed="false">
      <c r="A27" s="9" t="s">
        <v>66</v>
      </c>
      <c r="B27" s="5" t="s">
        <v>67</v>
      </c>
      <c r="C27" s="5" t="s">
        <v>68</v>
      </c>
      <c r="D27" s="10" t="s">
        <v>69</v>
      </c>
      <c r="E27" s="10" t="s">
        <v>70</v>
      </c>
      <c r="F27" s="10" t="s">
        <v>55</v>
      </c>
    </row>
    <row r="28" customFormat="false" ht="45.75" hidden="false" customHeight="true" outlineLevel="0" collapsed="false">
      <c r="A28" s="11" t="s">
        <v>71</v>
      </c>
      <c r="B28" s="12" t="s">
        <v>72</v>
      </c>
      <c r="C28" s="12" t="s">
        <v>73</v>
      </c>
      <c r="D28" s="13" t="s">
        <v>69</v>
      </c>
      <c r="E28" s="13" t="s">
        <v>74</v>
      </c>
      <c r="F28" s="13" t="s">
        <v>75</v>
      </c>
    </row>
    <row r="29" customFormat="false" ht="45.75" hidden="false" customHeight="true" outlineLevel="0" collapsed="false">
      <c r="A29" s="9" t="s">
        <v>76</v>
      </c>
      <c r="B29" s="5" t="s">
        <v>77</v>
      </c>
      <c r="C29" s="5" t="s">
        <v>78</v>
      </c>
      <c r="D29" s="10" t="s">
        <v>36</v>
      </c>
      <c r="E29" s="10" t="s">
        <v>79</v>
      </c>
      <c r="F29" s="10" t="s">
        <v>49</v>
      </c>
    </row>
    <row r="30" customFormat="false" ht="18" hidden="false" customHeight="true" outlineLevel="0" collapsed="false">
      <c r="A30" s="8" t="s">
        <v>80</v>
      </c>
      <c r="B30" s="8"/>
      <c r="C30" s="8"/>
      <c r="D30" s="8"/>
      <c r="E30" s="8"/>
      <c r="F30" s="8"/>
    </row>
    <row r="31" customFormat="false" ht="45.75" hidden="false" customHeight="true" outlineLevel="0" collapsed="false">
      <c r="A31" s="9" t="s">
        <v>81</v>
      </c>
      <c r="B31" s="5" t="s">
        <v>82</v>
      </c>
      <c r="C31" s="5" t="s">
        <v>83</v>
      </c>
      <c r="D31" s="10" t="s">
        <v>84</v>
      </c>
      <c r="E31" s="10" t="s">
        <v>85</v>
      </c>
      <c r="F31" s="10" t="s">
        <v>86</v>
      </c>
    </row>
    <row r="32" customFormat="false" ht="45.75" hidden="false" customHeight="true" outlineLevel="0" collapsed="false">
      <c r="A32" s="11" t="s">
        <v>87</v>
      </c>
      <c r="B32" s="12" t="s">
        <v>88</v>
      </c>
      <c r="C32" s="12" t="s">
        <v>89</v>
      </c>
      <c r="D32" s="13" t="s">
        <v>36</v>
      </c>
      <c r="E32" s="13" t="s">
        <v>90</v>
      </c>
      <c r="F32" s="13" t="s">
        <v>86</v>
      </c>
    </row>
    <row r="33" customFormat="false" ht="45.75" hidden="false" customHeight="true" outlineLevel="0" collapsed="false">
      <c r="A33" s="9" t="s">
        <v>91</v>
      </c>
      <c r="B33" s="5" t="s">
        <v>92</v>
      </c>
      <c r="C33" s="5" t="s">
        <v>93</v>
      </c>
      <c r="D33" s="10" t="s">
        <v>36</v>
      </c>
      <c r="E33" s="10" t="s">
        <v>94</v>
      </c>
      <c r="F33" s="10" t="s">
        <v>55</v>
      </c>
    </row>
    <row r="34" customFormat="false" ht="18" hidden="false" customHeight="true" outlineLevel="0" collapsed="false">
      <c r="A34" s="8" t="s">
        <v>95</v>
      </c>
      <c r="B34" s="8"/>
      <c r="C34" s="8"/>
      <c r="D34" s="8"/>
      <c r="E34" s="8"/>
      <c r="F34" s="8"/>
    </row>
    <row r="35" customFormat="false" ht="45.75" hidden="false" customHeight="true" outlineLevel="0" collapsed="false">
      <c r="A35" s="9" t="s">
        <v>96</v>
      </c>
      <c r="B35" s="5" t="s">
        <v>97</v>
      </c>
      <c r="C35" s="5" t="s">
        <v>98</v>
      </c>
      <c r="D35" s="10" t="s">
        <v>36</v>
      </c>
      <c r="E35" s="10" t="s">
        <v>99</v>
      </c>
      <c r="F35" s="10" t="s">
        <v>49</v>
      </c>
    </row>
    <row r="36" customFormat="false" ht="45.75" hidden="false" customHeight="true" outlineLevel="0" collapsed="false">
      <c r="A36" s="11" t="s">
        <v>100</v>
      </c>
      <c r="B36" s="12" t="s">
        <v>101</v>
      </c>
      <c r="C36" s="12" t="s">
        <v>102</v>
      </c>
      <c r="D36" s="13" t="s">
        <v>84</v>
      </c>
      <c r="E36" s="13" t="s">
        <v>103</v>
      </c>
      <c r="F36" s="13" t="s">
        <v>55</v>
      </c>
    </row>
    <row r="37" customFormat="false" ht="18" hidden="false" customHeight="true" outlineLevel="0" collapsed="false">
      <c r="A37" s="8" t="s">
        <v>104</v>
      </c>
      <c r="B37" s="8"/>
      <c r="C37" s="8"/>
      <c r="D37" s="8"/>
      <c r="E37" s="8"/>
      <c r="F37" s="8"/>
    </row>
    <row r="38" customFormat="false" ht="45.75" hidden="false" customHeight="true" outlineLevel="0" collapsed="false">
      <c r="A38" s="9" t="s">
        <v>105</v>
      </c>
      <c r="B38" s="5" t="s">
        <v>106</v>
      </c>
      <c r="C38" s="5" t="s">
        <v>107</v>
      </c>
      <c r="D38" s="10" t="s">
        <v>36</v>
      </c>
      <c r="E38" s="10" t="s">
        <v>108</v>
      </c>
      <c r="F38" s="10" t="s">
        <v>109</v>
      </c>
    </row>
    <row r="39" customFormat="false" ht="45.75" hidden="false" customHeight="true" outlineLevel="0" collapsed="false">
      <c r="A39" s="11" t="s">
        <v>110</v>
      </c>
      <c r="B39" s="12" t="s">
        <v>111</v>
      </c>
      <c r="C39" s="12" t="s">
        <v>112</v>
      </c>
      <c r="D39" s="13" t="s">
        <v>36</v>
      </c>
      <c r="E39" s="13" t="s">
        <v>113</v>
      </c>
      <c r="F39" s="13" t="s">
        <v>114</v>
      </c>
    </row>
    <row r="40" customFormat="false" ht="19.5" hidden="false" customHeight="true" outlineLevel="0" collapsed="false">
      <c r="A40" s="3" t="s">
        <v>115</v>
      </c>
      <c r="B40" s="3"/>
      <c r="C40" s="3"/>
      <c r="D40" s="3"/>
      <c r="E40" s="3"/>
      <c r="F40" s="3"/>
    </row>
    <row r="41" customFormat="false" ht="24" hidden="false" customHeight="true" outlineLevel="0" collapsed="false">
      <c r="A41" s="7" t="s">
        <v>26</v>
      </c>
      <c r="B41" s="7" t="s">
        <v>116</v>
      </c>
      <c r="C41" s="7" t="s">
        <v>117</v>
      </c>
      <c r="D41" s="7" t="s">
        <v>118</v>
      </c>
      <c r="E41" s="7" t="s">
        <v>119</v>
      </c>
      <c r="F41" s="7" t="s">
        <v>120</v>
      </c>
    </row>
    <row r="42" customFormat="false" ht="33.75" hidden="false" customHeight="true" outlineLevel="0" collapsed="false">
      <c r="A42" s="9" t="s">
        <v>121</v>
      </c>
      <c r="B42" s="5" t="s">
        <v>122</v>
      </c>
      <c r="C42" s="10" t="s">
        <v>123</v>
      </c>
      <c r="D42" s="5" t="s">
        <v>124</v>
      </c>
      <c r="E42" s="5" t="s">
        <v>125</v>
      </c>
      <c r="F42" s="5" t="s">
        <v>126</v>
      </c>
    </row>
    <row r="43" customFormat="false" ht="33.75" hidden="false" customHeight="true" outlineLevel="0" collapsed="false">
      <c r="A43" s="11" t="s">
        <v>127</v>
      </c>
      <c r="B43" s="12" t="s">
        <v>128</v>
      </c>
      <c r="C43" s="13" t="s">
        <v>129</v>
      </c>
      <c r="D43" s="12" t="s">
        <v>130</v>
      </c>
      <c r="E43" s="12" t="s">
        <v>131</v>
      </c>
      <c r="F43" s="12" t="s">
        <v>132</v>
      </c>
    </row>
    <row r="44" customFormat="false" ht="33.75" hidden="false" customHeight="true" outlineLevel="0" collapsed="false">
      <c r="A44" s="9" t="s">
        <v>133</v>
      </c>
      <c r="B44" s="5" t="s">
        <v>134</v>
      </c>
      <c r="C44" s="10" t="s">
        <v>135</v>
      </c>
      <c r="D44" s="5" t="s">
        <v>136</v>
      </c>
      <c r="E44" s="5" t="s">
        <v>137</v>
      </c>
      <c r="F44" s="5" t="s">
        <v>138</v>
      </c>
    </row>
    <row r="45" customFormat="false" ht="33.75" hidden="false" customHeight="true" outlineLevel="0" collapsed="false">
      <c r="A45" s="11" t="s">
        <v>139</v>
      </c>
      <c r="B45" s="12" t="s">
        <v>140</v>
      </c>
      <c r="C45" s="13" t="s">
        <v>141</v>
      </c>
      <c r="D45" s="12" t="s">
        <v>142</v>
      </c>
      <c r="E45" s="12" t="s">
        <v>143</v>
      </c>
      <c r="F45" s="12" t="s">
        <v>144</v>
      </c>
    </row>
    <row r="46" customFormat="false" ht="33.75" hidden="false" customHeight="true" outlineLevel="0" collapsed="false">
      <c r="A46" s="9" t="s">
        <v>145</v>
      </c>
      <c r="B46" s="5" t="s">
        <v>146</v>
      </c>
      <c r="C46" s="10" t="s">
        <v>147</v>
      </c>
      <c r="D46" s="5" t="s">
        <v>148</v>
      </c>
      <c r="E46" s="5" t="s">
        <v>149</v>
      </c>
      <c r="F46" s="5" t="s">
        <v>150</v>
      </c>
    </row>
    <row r="47" customFormat="false" ht="33.75" hidden="false" customHeight="true" outlineLevel="0" collapsed="false">
      <c r="A47" s="11" t="s">
        <v>151</v>
      </c>
      <c r="B47" s="12" t="s">
        <v>152</v>
      </c>
      <c r="C47" s="13" t="s">
        <v>153</v>
      </c>
      <c r="D47" s="12" t="s">
        <v>154</v>
      </c>
      <c r="E47" s="12" t="s">
        <v>155</v>
      </c>
      <c r="F47" s="12" t="s">
        <v>156</v>
      </c>
    </row>
    <row r="48" customFormat="false" ht="19.5" hidden="false" customHeight="true" outlineLevel="0" collapsed="false">
      <c r="A48" s="3" t="s">
        <v>157</v>
      </c>
      <c r="B48" s="3"/>
      <c r="C48" s="3"/>
      <c r="D48" s="3"/>
      <c r="E48" s="3"/>
      <c r="F48" s="3"/>
    </row>
    <row r="49" customFormat="false" ht="24" hidden="false" customHeight="true" outlineLevel="0" collapsed="false">
      <c r="A49" s="7" t="s">
        <v>158</v>
      </c>
      <c r="B49" s="7"/>
      <c r="C49" s="7"/>
      <c r="D49" s="7" t="s">
        <v>159</v>
      </c>
      <c r="E49" s="7"/>
      <c r="F49" s="7"/>
    </row>
    <row r="50" customFormat="false" ht="30" hidden="false" customHeight="true" outlineLevel="0" collapsed="false">
      <c r="A50" s="5" t="s">
        <v>160</v>
      </c>
      <c r="B50" s="5"/>
      <c r="C50" s="5"/>
      <c r="D50" s="5" t="s">
        <v>161</v>
      </c>
      <c r="E50" s="5"/>
      <c r="F50" s="5"/>
    </row>
    <row r="51" customFormat="false" ht="30" hidden="false" customHeight="true" outlineLevel="0" collapsed="false">
      <c r="A51" s="12" t="s">
        <v>162</v>
      </c>
      <c r="B51" s="12"/>
      <c r="C51" s="12"/>
      <c r="D51" s="12" t="s">
        <v>163</v>
      </c>
      <c r="E51" s="12"/>
      <c r="F51" s="12"/>
    </row>
    <row r="52" customFormat="false" ht="30" hidden="false" customHeight="true" outlineLevel="0" collapsed="false">
      <c r="A52" s="5" t="s">
        <v>164</v>
      </c>
      <c r="B52" s="5"/>
      <c r="C52" s="5"/>
      <c r="D52" s="5" t="s">
        <v>165</v>
      </c>
      <c r="E52" s="5"/>
      <c r="F52" s="5"/>
    </row>
    <row r="53" customFormat="false" ht="30" hidden="false" customHeight="true" outlineLevel="0" collapsed="false">
      <c r="A53" s="12" t="s">
        <v>166</v>
      </c>
      <c r="B53" s="12"/>
      <c r="C53" s="12"/>
      <c r="D53" s="12" t="s">
        <v>167</v>
      </c>
      <c r="E53" s="12"/>
      <c r="F53" s="12"/>
    </row>
    <row r="54" customFormat="false" ht="30" hidden="false" customHeight="true" outlineLevel="0" collapsed="false">
      <c r="A54" s="5" t="s">
        <v>168</v>
      </c>
      <c r="B54" s="5"/>
      <c r="C54" s="5"/>
      <c r="D54" s="5" t="s">
        <v>169</v>
      </c>
      <c r="E54" s="5"/>
      <c r="F54" s="5"/>
    </row>
    <row r="55" customFormat="false" ht="30" hidden="false" customHeight="true" outlineLevel="0" collapsed="false">
      <c r="A55" s="12" t="s">
        <v>170</v>
      </c>
      <c r="B55" s="12"/>
      <c r="C55" s="12"/>
      <c r="D55" s="12" t="s">
        <v>171</v>
      </c>
      <c r="E55" s="12"/>
      <c r="F55" s="12"/>
    </row>
    <row r="56" customFormat="false" ht="19.5" hidden="false" customHeight="true" outlineLevel="0" collapsed="false">
      <c r="A56" s="3" t="s">
        <v>172</v>
      </c>
      <c r="B56" s="3"/>
      <c r="C56" s="3"/>
      <c r="D56" s="3"/>
      <c r="E56" s="3"/>
      <c r="F56" s="3"/>
    </row>
    <row r="57" customFormat="false" ht="18" hidden="false" customHeight="true" outlineLevel="0" collapsed="false">
      <c r="A57" s="14" t="s">
        <v>173</v>
      </c>
      <c r="B57" s="14"/>
      <c r="C57" s="14"/>
      <c r="D57" s="14"/>
      <c r="E57" s="14"/>
      <c r="F57" s="14"/>
    </row>
    <row r="58" customFormat="false" ht="24" hidden="false" customHeight="true" outlineLevel="0" collapsed="false">
      <c r="A58" s="7" t="s">
        <v>174</v>
      </c>
      <c r="B58" s="7" t="s">
        <v>175</v>
      </c>
      <c r="C58" s="7" t="s">
        <v>117</v>
      </c>
      <c r="D58" s="7" t="s">
        <v>176</v>
      </c>
      <c r="E58" s="7" t="s">
        <v>177</v>
      </c>
      <c r="F58" s="7" t="s">
        <v>178</v>
      </c>
    </row>
    <row r="59" customFormat="false" ht="43.5" hidden="false" customHeight="true" outlineLevel="0" collapsed="false">
      <c r="A59" s="9" t="s">
        <v>179</v>
      </c>
      <c r="B59" s="5" t="s">
        <v>180</v>
      </c>
      <c r="C59" s="10" t="s">
        <v>123</v>
      </c>
      <c r="D59" s="10" t="s">
        <v>181</v>
      </c>
      <c r="E59" s="5" t="s">
        <v>182</v>
      </c>
      <c r="F59" s="10" t="s">
        <v>183</v>
      </c>
    </row>
    <row r="60" customFormat="false" ht="43.5" hidden="false" customHeight="true" outlineLevel="0" collapsed="false">
      <c r="A60" s="11" t="s">
        <v>184</v>
      </c>
      <c r="B60" s="12" t="s">
        <v>185</v>
      </c>
      <c r="C60" s="13" t="s">
        <v>186</v>
      </c>
      <c r="D60" s="13" t="s">
        <v>181</v>
      </c>
      <c r="E60" s="12" t="s">
        <v>187</v>
      </c>
      <c r="F60" s="13" t="s">
        <v>183</v>
      </c>
    </row>
    <row r="61" customFormat="false" ht="43.5" hidden="false" customHeight="true" outlineLevel="0" collapsed="false">
      <c r="A61" s="9" t="s">
        <v>188</v>
      </c>
      <c r="B61" s="5" t="s">
        <v>189</v>
      </c>
      <c r="C61" s="10" t="s">
        <v>135</v>
      </c>
      <c r="D61" s="10" t="s">
        <v>181</v>
      </c>
      <c r="E61" s="5" t="s">
        <v>190</v>
      </c>
      <c r="F61" s="10" t="s">
        <v>183</v>
      </c>
    </row>
    <row r="62" customFormat="false" ht="43.5" hidden="false" customHeight="true" outlineLevel="0" collapsed="false">
      <c r="A62" s="11" t="s">
        <v>191</v>
      </c>
      <c r="B62" s="12" t="s">
        <v>192</v>
      </c>
      <c r="C62" s="13" t="s">
        <v>141</v>
      </c>
      <c r="D62" s="13" t="s">
        <v>181</v>
      </c>
      <c r="E62" s="12" t="s">
        <v>193</v>
      </c>
      <c r="F62" s="13" t="s">
        <v>183</v>
      </c>
    </row>
    <row r="63" customFormat="false" ht="43.5" hidden="false" customHeight="true" outlineLevel="0" collapsed="false">
      <c r="A63" s="9" t="s">
        <v>194</v>
      </c>
      <c r="B63" s="5" t="s">
        <v>195</v>
      </c>
      <c r="C63" s="10" t="s">
        <v>147</v>
      </c>
      <c r="D63" s="10" t="s">
        <v>181</v>
      </c>
      <c r="E63" s="5" t="s">
        <v>196</v>
      </c>
      <c r="F63" s="10" t="s">
        <v>183</v>
      </c>
    </row>
    <row r="64" customFormat="false" ht="43.5" hidden="false" customHeight="true" outlineLevel="0" collapsed="false">
      <c r="A64" s="11" t="s">
        <v>197</v>
      </c>
      <c r="B64" s="12" t="s">
        <v>198</v>
      </c>
      <c r="C64" s="13" t="s">
        <v>199</v>
      </c>
      <c r="D64" s="13" t="s">
        <v>181</v>
      </c>
      <c r="E64" s="12" t="s">
        <v>200</v>
      </c>
      <c r="F64" s="13" t="s">
        <v>183</v>
      </c>
    </row>
    <row r="65" customFormat="false" ht="19.5" hidden="false" customHeight="true" outlineLevel="0" collapsed="false">
      <c r="A65" s="3" t="s">
        <v>201</v>
      </c>
      <c r="B65" s="3"/>
      <c r="C65" s="3"/>
      <c r="D65" s="3"/>
      <c r="E65" s="3"/>
      <c r="F65" s="3"/>
    </row>
    <row r="66" customFormat="false" ht="24" hidden="false" customHeight="true" outlineLevel="0" collapsed="false">
      <c r="A66" s="14" t="s">
        <v>202</v>
      </c>
      <c r="B66" s="14"/>
      <c r="C66" s="14"/>
      <c r="D66" s="14"/>
      <c r="E66" s="14"/>
      <c r="F66" s="14"/>
    </row>
    <row r="67" customFormat="false" ht="15" hidden="false" customHeight="true" outlineLevel="0" collapsed="false">
      <c r="A67" s="8" t="s">
        <v>203</v>
      </c>
      <c r="B67" s="8"/>
      <c r="C67" s="8" t="s">
        <v>204</v>
      </c>
      <c r="D67" s="8"/>
      <c r="E67" s="7" t="s">
        <v>205</v>
      </c>
      <c r="F67" s="7"/>
    </row>
    <row r="68" customFormat="false" ht="18" hidden="false" customHeight="true" outlineLevel="0" collapsed="false">
      <c r="A68" s="15" t="s">
        <v>206</v>
      </c>
      <c r="B68" s="15"/>
      <c r="C68" s="15"/>
      <c r="D68" s="15"/>
      <c r="E68" s="15"/>
      <c r="F68" s="15"/>
    </row>
    <row r="69" customFormat="false" ht="31.5" hidden="false" customHeight="true" outlineLevel="0" collapsed="false">
      <c r="A69" s="5" t="s">
        <v>207</v>
      </c>
      <c r="B69" s="5"/>
      <c r="C69" s="5" t="s">
        <v>208</v>
      </c>
      <c r="D69" s="5"/>
      <c r="E69" s="10" t="s">
        <v>209</v>
      </c>
      <c r="F69" s="10"/>
    </row>
    <row r="70" customFormat="false" ht="31.5" hidden="false" customHeight="true" outlineLevel="0" collapsed="false">
      <c r="A70" s="12" t="s">
        <v>210</v>
      </c>
      <c r="B70" s="12"/>
      <c r="C70" s="12" t="s">
        <v>211</v>
      </c>
      <c r="D70" s="12"/>
      <c r="E70" s="13" t="s">
        <v>209</v>
      </c>
      <c r="F70" s="13"/>
    </row>
    <row r="71" customFormat="false" ht="18" hidden="false" customHeight="true" outlineLevel="0" collapsed="false">
      <c r="A71" s="15" t="s">
        <v>212</v>
      </c>
      <c r="B71" s="15"/>
      <c r="C71" s="15"/>
      <c r="D71" s="15"/>
      <c r="E71" s="15"/>
      <c r="F71" s="15"/>
    </row>
    <row r="72" customFormat="false" ht="31.5" hidden="false" customHeight="true" outlineLevel="0" collapsed="false">
      <c r="A72" s="5" t="s">
        <v>213</v>
      </c>
      <c r="B72" s="5"/>
      <c r="C72" s="5" t="s">
        <v>214</v>
      </c>
      <c r="D72" s="5"/>
      <c r="E72" s="10" t="s">
        <v>209</v>
      </c>
      <c r="F72" s="10"/>
    </row>
    <row r="73" customFormat="false" ht="31.5" hidden="false" customHeight="true" outlineLevel="0" collapsed="false">
      <c r="A73" s="12" t="s">
        <v>215</v>
      </c>
      <c r="B73" s="12"/>
      <c r="C73" s="12" t="s">
        <v>216</v>
      </c>
      <c r="D73" s="12"/>
      <c r="E73" s="13" t="s">
        <v>209</v>
      </c>
      <c r="F73" s="13"/>
    </row>
    <row r="74" customFormat="false" ht="18" hidden="false" customHeight="true" outlineLevel="0" collapsed="false">
      <c r="A74" s="15" t="s">
        <v>217</v>
      </c>
      <c r="B74" s="15"/>
      <c r="C74" s="15"/>
      <c r="D74" s="15"/>
      <c r="E74" s="15"/>
      <c r="F74" s="15"/>
    </row>
    <row r="75" customFormat="false" ht="31.5" hidden="false" customHeight="true" outlineLevel="0" collapsed="false">
      <c r="A75" s="5" t="s">
        <v>218</v>
      </c>
      <c r="B75" s="5"/>
      <c r="C75" s="5" t="s">
        <v>219</v>
      </c>
      <c r="D75" s="5"/>
      <c r="E75" s="10" t="s">
        <v>209</v>
      </c>
      <c r="F75" s="10"/>
    </row>
    <row r="76" customFormat="false" ht="31.5" hidden="false" customHeight="true" outlineLevel="0" collapsed="false">
      <c r="A76" s="12" t="s">
        <v>220</v>
      </c>
      <c r="B76" s="12"/>
      <c r="C76" s="12" t="s">
        <v>221</v>
      </c>
      <c r="D76" s="12"/>
      <c r="E76" s="13" t="s">
        <v>209</v>
      </c>
      <c r="F76" s="13"/>
    </row>
    <row r="77" customFormat="false" ht="19.5" hidden="false" customHeight="true" outlineLevel="0" collapsed="false">
      <c r="A77" s="3" t="s">
        <v>222</v>
      </c>
      <c r="B77" s="3"/>
      <c r="C77" s="3"/>
      <c r="D77" s="3"/>
      <c r="E77" s="3"/>
      <c r="F77" s="3"/>
    </row>
    <row r="78" customFormat="false" ht="24" hidden="false" customHeight="true" outlineLevel="0" collapsed="false">
      <c r="A78" s="7" t="s">
        <v>223</v>
      </c>
      <c r="B78" s="7" t="s">
        <v>224</v>
      </c>
      <c r="C78" s="7" t="s">
        <v>225</v>
      </c>
      <c r="D78" s="7" t="s">
        <v>226</v>
      </c>
      <c r="E78" s="7" t="s">
        <v>227</v>
      </c>
      <c r="F78" s="7" t="s">
        <v>228</v>
      </c>
    </row>
    <row r="79" customFormat="false" ht="39.75" hidden="false" customHeight="true" outlineLevel="0" collapsed="false">
      <c r="A79" s="9" t="s">
        <v>229</v>
      </c>
      <c r="B79" s="5" t="s">
        <v>230</v>
      </c>
      <c r="C79" s="5" t="s">
        <v>231</v>
      </c>
      <c r="D79" s="5" t="s">
        <v>232</v>
      </c>
      <c r="E79" s="10" t="s">
        <v>233</v>
      </c>
      <c r="F79" s="10" t="s">
        <v>234</v>
      </c>
    </row>
    <row r="80" customFormat="false" ht="39.75" hidden="false" customHeight="true" outlineLevel="0" collapsed="false">
      <c r="A80" s="11" t="s">
        <v>235</v>
      </c>
      <c r="B80" s="12" t="s">
        <v>236</v>
      </c>
      <c r="C80" s="12" t="s">
        <v>237</v>
      </c>
      <c r="D80" s="12" t="s">
        <v>238</v>
      </c>
      <c r="E80" s="13" t="s">
        <v>233</v>
      </c>
      <c r="F80" s="13" t="s">
        <v>235</v>
      </c>
    </row>
    <row r="81" customFormat="false" ht="39.75" hidden="false" customHeight="true" outlineLevel="0" collapsed="false">
      <c r="A81" s="9" t="s">
        <v>239</v>
      </c>
      <c r="B81" s="5" t="s">
        <v>240</v>
      </c>
      <c r="C81" s="5" t="s">
        <v>241</v>
      </c>
      <c r="D81" s="5" t="s">
        <v>242</v>
      </c>
      <c r="E81" s="10" t="s">
        <v>243</v>
      </c>
      <c r="F81" s="10" t="s">
        <v>244</v>
      </c>
    </row>
    <row r="82" customFormat="false" ht="39.75" hidden="false" customHeight="true" outlineLevel="0" collapsed="false">
      <c r="A82" s="11" t="s">
        <v>245</v>
      </c>
      <c r="B82" s="12" t="s">
        <v>246</v>
      </c>
      <c r="C82" s="12" t="s">
        <v>247</v>
      </c>
      <c r="D82" s="12" t="s">
        <v>248</v>
      </c>
      <c r="E82" s="13" t="s">
        <v>249</v>
      </c>
      <c r="F82" s="13" t="s">
        <v>250</v>
      </c>
    </row>
    <row r="83" customFormat="false" ht="19.5" hidden="false" customHeight="true" outlineLevel="0" collapsed="false">
      <c r="A83" s="3" t="s">
        <v>251</v>
      </c>
      <c r="B83" s="3"/>
      <c r="C83" s="3"/>
      <c r="D83" s="3"/>
      <c r="E83" s="3"/>
      <c r="F83" s="3"/>
    </row>
    <row r="84" customFormat="false" ht="18" hidden="false" customHeight="true" outlineLevel="0" collapsed="false">
      <c r="A84" s="4" t="s">
        <v>252</v>
      </c>
      <c r="B84" s="4"/>
      <c r="C84" s="4"/>
      <c r="D84" s="4"/>
      <c r="E84" s="4"/>
      <c r="F84" s="4"/>
    </row>
    <row r="85" customFormat="false" ht="15" hidden="false" customHeight="true" outlineLevel="0" collapsed="false">
      <c r="A85" s="4" t="s">
        <v>253</v>
      </c>
      <c r="B85" s="4"/>
      <c r="C85" s="4" t="s">
        <v>254</v>
      </c>
      <c r="D85" s="4"/>
      <c r="E85" s="4" t="s">
        <v>255</v>
      </c>
      <c r="F85" s="4"/>
    </row>
    <row r="86" customFormat="false" ht="54" hidden="false" customHeight="true" outlineLevel="0" collapsed="false">
      <c r="A86" s="5" t="s">
        <v>256</v>
      </c>
      <c r="B86" s="5"/>
      <c r="C86" s="5" t="s">
        <v>257</v>
      </c>
      <c r="D86" s="5"/>
      <c r="E86" s="5" t="s">
        <v>258</v>
      </c>
      <c r="F86" s="5"/>
    </row>
    <row r="87" customFormat="false" ht="18" hidden="false" customHeight="true" outlineLevel="0" collapsed="false">
      <c r="A87" s="16" t="s">
        <v>259</v>
      </c>
      <c r="B87" s="16"/>
      <c r="C87" s="16"/>
      <c r="D87" s="16"/>
      <c r="E87" s="16"/>
      <c r="F87" s="16"/>
    </row>
  </sheetData>
  <mergeCells count="76">
    <mergeCell ref="A1:F1"/>
    <mergeCell ref="A2:F2"/>
    <mergeCell ref="A3:F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A14:F14"/>
    <mergeCell ref="A15:F15"/>
    <mergeCell ref="A16:F16"/>
    <mergeCell ref="A18:F18"/>
    <mergeCell ref="A22:F22"/>
    <mergeCell ref="A26:F26"/>
    <mergeCell ref="A30:F30"/>
    <mergeCell ref="A34:F34"/>
    <mergeCell ref="A37:F37"/>
    <mergeCell ref="A40:F40"/>
    <mergeCell ref="A48:F48"/>
    <mergeCell ref="A49:C49"/>
    <mergeCell ref="D49:F49"/>
    <mergeCell ref="A50:C50"/>
    <mergeCell ref="D50:F50"/>
    <mergeCell ref="A51:C51"/>
    <mergeCell ref="D51:F51"/>
    <mergeCell ref="A52:C52"/>
    <mergeCell ref="D52:F52"/>
    <mergeCell ref="A53:C53"/>
    <mergeCell ref="D53:F53"/>
    <mergeCell ref="A54:C54"/>
    <mergeCell ref="D54:F54"/>
    <mergeCell ref="A55:C55"/>
    <mergeCell ref="D55:F55"/>
    <mergeCell ref="A56:F56"/>
    <mergeCell ref="A57:F57"/>
    <mergeCell ref="A65:F65"/>
    <mergeCell ref="A66:F66"/>
    <mergeCell ref="A67:B67"/>
    <mergeCell ref="C67:D67"/>
    <mergeCell ref="E67:F67"/>
    <mergeCell ref="A68:F68"/>
    <mergeCell ref="A69:B69"/>
    <mergeCell ref="C69:D69"/>
    <mergeCell ref="E69:F69"/>
    <mergeCell ref="A70:B70"/>
    <mergeCell ref="C70:D70"/>
    <mergeCell ref="E70:F70"/>
    <mergeCell ref="A71:F71"/>
    <mergeCell ref="A72:B72"/>
    <mergeCell ref="C72:D72"/>
    <mergeCell ref="E72:F72"/>
    <mergeCell ref="A73:B73"/>
    <mergeCell ref="C73:D73"/>
    <mergeCell ref="E73:F73"/>
    <mergeCell ref="A74:F74"/>
    <mergeCell ref="A75:B75"/>
    <mergeCell ref="C75:D75"/>
    <mergeCell ref="E75:F75"/>
    <mergeCell ref="A76:B76"/>
    <mergeCell ref="C76:D76"/>
    <mergeCell ref="E76:F76"/>
    <mergeCell ref="A77:F77"/>
    <mergeCell ref="A83:F83"/>
    <mergeCell ref="A84:F84"/>
    <mergeCell ref="A85:B85"/>
    <mergeCell ref="C85:D85"/>
    <mergeCell ref="E85:F85"/>
    <mergeCell ref="A86:B86"/>
    <mergeCell ref="C86:D86"/>
    <mergeCell ref="E86:F86"/>
    <mergeCell ref="A87:F8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4" min="3" style="0" width="22"/>
    <col collapsed="false" customWidth="true" hidden="false" outlineLevel="0" max="5" min="5" style="0" width="30"/>
    <col collapsed="false" customWidth="true" hidden="false" outlineLevel="0" max="6" min="6" style="0" width="22"/>
  </cols>
  <sheetData>
    <row r="1" customFormat="false" ht="37.5" hidden="false" customHeight="true" outlineLevel="0" collapsed="false">
      <c r="A1" s="1" t="s">
        <v>260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261</v>
      </c>
      <c r="B2" s="2"/>
      <c r="C2" s="2"/>
      <c r="D2" s="2"/>
      <c r="E2" s="2"/>
      <c r="F2" s="2"/>
    </row>
    <row r="3" customFormat="false" ht="19.5" hidden="false" customHeight="true" outlineLevel="0" collapsed="false">
      <c r="A3" s="3" t="s">
        <v>262</v>
      </c>
      <c r="B3" s="3"/>
      <c r="C3" s="3"/>
      <c r="D3" s="3"/>
      <c r="E3" s="3"/>
      <c r="F3" s="3"/>
    </row>
    <row r="4" customFormat="false" ht="24" hidden="false" customHeight="true" outlineLevel="0" collapsed="false">
      <c r="A4" s="7" t="s">
        <v>26</v>
      </c>
      <c r="B4" s="7" t="s">
        <v>263</v>
      </c>
      <c r="C4" s="7" t="s">
        <v>117</v>
      </c>
      <c r="D4" s="7" t="s">
        <v>176</v>
      </c>
      <c r="E4" s="7" t="s">
        <v>264</v>
      </c>
      <c r="F4" s="7" t="s">
        <v>265</v>
      </c>
    </row>
    <row r="5" customFormat="false" ht="21.75" hidden="false" customHeight="true" outlineLevel="0" collapsed="false">
      <c r="A5" s="9" t="s">
        <v>179</v>
      </c>
      <c r="B5" s="5" t="s">
        <v>180</v>
      </c>
      <c r="C5" s="10" t="s">
        <v>123</v>
      </c>
      <c r="D5" s="10" t="s">
        <v>181</v>
      </c>
      <c r="E5" s="10" t="s">
        <v>266</v>
      </c>
      <c r="F5" s="10" t="s">
        <v>183</v>
      </c>
    </row>
    <row r="6" customFormat="false" ht="21.75" hidden="false" customHeight="true" outlineLevel="0" collapsed="false">
      <c r="A6" s="11" t="s">
        <v>184</v>
      </c>
      <c r="B6" s="12" t="s">
        <v>185</v>
      </c>
      <c r="C6" s="13" t="s">
        <v>186</v>
      </c>
      <c r="D6" s="13" t="s">
        <v>181</v>
      </c>
      <c r="E6" s="13" t="s">
        <v>266</v>
      </c>
      <c r="F6" s="13" t="s">
        <v>183</v>
      </c>
    </row>
    <row r="7" customFormat="false" ht="21.75" hidden="false" customHeight="true" outlineLevel="0" collapsed="false">
      <c r="A7" s="9" t="s">
        <v>188</v>
      </c>
      <c r="B7" s="5" t="s">
        <v>189</v>
      </c>
      <c r="C7" s="10" t="s">
        <v>135</v>
      </c>
      <c r="D7" s="10" t="s">
        <v>181</v>
      </c>
      <c r="E7" s="10" t="s">
        <v>181</v>
      </c>
      <c r="F7" s="10" t="s">
        <v>183</v>
      </c>
    </row>
    <row r="8" customFormat="false" ht="21.75" hidden="false" customHeight="true" outlineLevel="0" collapsed="false">
      <c r="A8" s="11" t="s">
        <v>191</v>
      </c>
      <c r="B8" s="12" t="s">
        <v>192</v>
      </c>
      <c r="C8" s="13" t="s">
        <v>141</v>
      </c>
      <c r="D8" s="13" t="s">
        <v>181</v>
      </c>
      <c r="E8" s="13" t="s">
        <v>266</v>
      </c>
      <c r="F8" s="13" t="s">
        <v>183</v>
      </c>
    </row>
    <row r="9" customFormat="false" ht="21.75" hidden="false" customHeight="true" outlineLevel="0" collapsed="false">
      <c r="A9" s="9" t="s">
        <v>194</v>
      </c>
      <c r="B9" s="5" t="s">
        <v>195</v>
      </c>
      <c r="C9" s="10" t="s">
        <v>147</v>
      </c>
      <c r="D9" s="10" t="s">
        <v>181</v>
      </c>
      <c r="E9" s="10" t="s">
        <v>181</v>
      </c>
      <c r="F9" s="10" t="s">
        <v>183</v>
      </c>
    </row>
    <row r="10" customFormat="false" ht="21.75" hidden="false" customHeight="true" outlineLevel="0" collapsed="false">
      <c r="A10" s="11" t="s">
        <v>197</v>
      </c>
      <c r="B10" s="12" t="s">
        <v>198</v>
      </c>
      <c r="C10" s="13" t="s">
        <v>199</v>
      </c>
      <c r="D10" s="13" t="s">
        <v>181</v>
      </c>
      <c r="E10" s="13" t="s">
        <v>181</v>
      </c>
      <c r="F10" s="13" t="s">
        <v>183</v>
      </c>
    </row>
    <row r="11" customFormat="false" ht="19.5" hidden="false" customHeight="true" outlineLevel="0" collapsed="false">
      <c r="A11" s="10"/>
      <c r="B11" s="9" t="s">
        <v>267</v>
      </c>
      <c r="C11" s="10" t="s">
        <v>268</v>
      </c>
      <c r="D11" s="10" t="s">
        <v>269</v>
      </c>
      <c r="E11" s="10" t="s">
        <v>270</v>
      </c>
      <c r="F11" s="10" t="s">
        <v>271</v>
      </c>
    </row>
    <row r="12" customFormat="false" ht="19.5" hidden="false" customHeight="true" outlineLevel="0" collapsed="false">
      <c r="A12" s="3" t="s">
        <v>272</v>
      </c>
      <c r="B12" s="3"/>
      <c r="C12" s="3"/>
      <c r="D12" s="3"/>
      <c r="E12" s="3"/>
      <c r="F12" s="3"/>
    </row>
    <row r="13" customFormat="false" ht="24" hidden="false" customHeight="true" outlineLevel="0" collapsed="false">
      <c r="A13" s="7" t="s">
        <v>26</v>
      </c>
      <c r="B13" s="7" t="s">
        <v>273</v>
      </c>
      <c r="C13" s="7" t="s">
        <v>274</v>
      </c>
      <c r="D13" s="7" t="s">
        <v>275</v>
      </c>
      <c r="E13" s="7" t="s">
        <v>276</v>
      </c>
      <c r="F13" s="7" t="s">
        <v>277</v>
      </c>
    </row>
    <row r="14" customFormat="false" ht="18" hidden="false" customHeight="true" outlineLevel="0" collapsed="false">
      <c r="A14" s="8" t="s">
        <v>278</v>
      </c>
      <c r="B14" s="8"/>
      <c r="C14" s="8"/>
      <c r="D14" s="8"/>
      <c r="E14" s="8"/>
      <c r="F14" s="8"/>
    </row>
    <row r="15" customFormat="false" ht="57.75" hidden="false" customHeight="true" outlineLevel="0" collapsed="false">
      <c r="A15" s="9" t="s">
        <v>33</v>
      </c>
      <c r="B15" s="17" t="s">
        <v>279</v>
      </c>
      <c r="C15" s="18" t="s">
        <v>280</v>
      </c>
      <c r="D15" s="19" t="s">
        <v>281</v>
      </c>
      <c r="E15" s="20" t="s">
        <v>282</v>
      </c>
      <c r="F15" s="21" t="s">
        <v>283</v>
      </c>
    </row>
    <row r="16" customFormat="false" ht="57.75" hidden="false" customHeight="true" outlineLevel="0" collapsed="false">
      <c r="A16" s="11" t="s">
        <v>39</v>
      </c>
      <c r="B16" s="22" t="s">
        <v>284</v>
      </c>
      <c r="C16" s="18" t="s">
        <v>285</v>
      </c>
      <c r="D16" s="19" t="s">
        <v>286</v>
      </c>
      <c r="E16" s="20" t="s">
        <v>287</v>
      </c>
      <c r="F16" s="21" t="s">
        <v>288</v>
      </c>
    </row>
    <row r="17" customFormat="false" ht="57.75" hidden="false" customHeight="true" outlineLevel="0" collapsed="false">
      <c r="A17" s="9" t="s">
        <v>44</v>
      </c>
      <c r="B17" s="17" t="s">
        <v>289</v>
      </c>
      <c r="C17" s="18" t="s">
        <v>290</v>
      </c>
      <c r="D17" s="19" t="s">
        <v>291</v>
      </c>
      <c r="E17" s="20" t="s">
        <v>292</v>
      </c>
      <c r="F17" s="21" t="s">
        <v>293</v>
      </c>
    </row>
    <row r="18" customFormat="false" ht="18" hidden="false" customHeight="true" outlineLevel="0" collapsed="false">
      <c r="A18" s="8" t="s">
        <v>294</v>
      </c>
      <c r="B18" s="8"/>
      <c r="C18" s="8"/>
      <c r="D18" s="8"/>
      <c r="E18" s="8"/>
      <c r="F18" s="8"/>
    </row>
    <row r="19" customFormat="false" ht="57.75" hidden="false" customHeight="true" outlineLevel="0" collapsed="false">
      <c r="A19" s="9" t="s">
        <v>51</v>
      </c>
      <c r="B19" s="17" t="s">
        <v>295</v>
      </c>
      <c r="C19" s="18" t="s">
        <v>296</v>
      </c>
      <c r="D19" s="19" t="s">
        <v>297</v>
      </c>
      <c r="E19" s="20" t="s">
        <v>298</v>
      </c>
      <c r="F19" s="21" t="s">
        <v>299</v>
      </c>
    </row>
    <row r="20" customFormat="false" ht="57.75" hidden="false" customHeight="true" outlineLevel="0" collapsed="false">
      <c r="A20" s="11" t="s">
        <v>56</v>
      </c>
      <c r="B20" s="22" t="s">
        <v>300</v>
      </c>
      <c r="C20" s="18" t="s">
        <v>301</v>
      </c>
      <c r="D20" s="19" t="s">
        <v>302</v>
      </c>
      <c r="E20" s="20" t="s">
        <v>303</v>
      </c>
      <c r="F20" s="21" t="s">
        <v>304</v>
      </c>
    </row>
    <row r="21" customFormat="false" ht="57.75" hidden="false" customHeight="true" outlineLevel="0" collapsed="false">
      <c r="A21" s="9" t="s">
        <v>61</v>
      </c>
      <c r="B21" s="17" t="s">
        <v>305</v>
      </c>
      <c r="C21" s="18" t="s">
        <v>306</v>
      </c>
      <c r="D21" s="19" t="s">
        <v>307</v>
      </c>
      <c r="E21" s="20" t="s">
        <v>308</v>
      </c>
      <c r="F21" s="21" t="s">
        <v>309</v>
      </c>
    </row>
    <row r="22" customFormat="false" ht="18" hidden="false" customHeight="true" outlineLevel="0" collapsed="false">
      <c r="A22" s="8" t="s">
        <v>310</v>
      </c>
      <c r="B22" s="8"/>
      <c r="C22" s="8"/>
      <c r="D22" s="8"/>
      <c r="E22" s="8"/>
      <c r="F22" s="8"/>
    </row>
    <row r="23" customFormat="false" ht="57.75" hidden="false" customHeight="true" outlineLevel="0" collapsed="false">
      <c r="A23" s="9" t="s">
        <v>66</v>
      </c>
      <c r="B23" s="17" t="s">
        <v>311</v>
      </c>
      <c r="C23" s="18" t="s">
        <v>312</v>
      </c>
      <c r="D23" s="19" t="s">
        <v>313</v>
      </c>
      <c r="E23" s="20" t="s">
        <v>314</v>
      </c>
      <c r="F23" s="21" t="s">
        <v>315</v>
      </c>
    </row>
    <row r="24" customFormat="false" ht="57.75" hidden="false" customHeight="true" outlineLevel="0" collapsed="false">
      <c r="A24" s="11" t="s">
        <v>71</v>
      </c>
      <c r="B24" s="22" t="s">
        <v>316</v>
      </c>
      <c r="C24" s="18" t="s">
        <v>317</v>
      </c>
      <c r="D24" s="19" t="s">
        <v>318</v>
      </c>
      <c r="E24" s="20" t="s">
        <v>319</v>
      </c>
      <c r="F24" s="21" t="s">
        <v>320</v>
      </c>
    </row>
    <row r="25" customFormat="false" ht="57.75" hidden="false" customHeight="true" outlineLevel="0" collapsed="false">
      <c r="A25" s="9" t="s">
        <v>76</v>
      </c>
      <c r="B25" s="17" t="s">
        <v>321</v>
      </c>
      <c r="C25" s="18" t="s">
        <v>322</v>
      </c>
      <c r="D25" s="19" t="s">
        <v>323</v>
      </c>
      <c r="E25" s="20" t="s">
        <v>324</v>
      </c>
      <c r="F25" s="21" t="s">
        <v>325</v>
      </c>
    </row>
    <row r="26" customFormat="false" ht="18" hidden="false" customHeight="true" outlineLevel="0" collapsed="false">
      <c r="A26" s="8" t="s">
        <v>326</v>
      </c>
      <c r="B26" s="8"/>
      <c r="C26" s="8"/>
      <c r="D26" s="8"/>
      <c r="E26" s="8"/>
      <c r="F26" s="8"/>
    </row>
    <row r="27" customFormat="false" ht="57.75" hidden="false" customHeight="true" outlineLevel="0" collapsed="false">
      <c r="A27" s="9" t="s">
        <v>81</v>
      </c>
      <c r="B27" s="17" t="s">
        <v>327</v>
      </c>
      <c r="C27" s="18" t="s">
        <v>328</v>
      </c>
      <c r="D27" s="19" t="s">
        <v>329</v>
      </c>
      <c r="E27" s="20" t="s">
        <v>330</v>
      </c>
      <c r="F27" s="21" t="s">
        <v>331</v>
      </c>
    </row>
    <row r="28" customFormat="false" ht="57.75" hidden="false" customHeight="true" outlineLevel="0" collapsed="false">
      <c r="A28" s="11" t="s">
        <v>87</v>
      </c>
      <c r="B28" s="22" t="s">
        <v>332</v>
      </c>
      <c r="C28" s="18" t="s">
        <v>333</v>
      </c>
      <c r="D28" s="19" t="s">
        <v>334</v>
      </c>
      <c r="E28" s="20" t="s">
        <v>335</v>
      </c>
      <c r="F28" s="21" t="s">
        <v>336</v>
      </c>
    </row>
    <row r="29" customFormat="false" ht="57.75" hidden="false" customHeight="true" outlineLevel="0" collapsed="false">
      <c r="A29" s="9" t="s">
        <v>91</v>
      </c>
      <c r="B29" s="17" t="s">
        <v>337</v>
      </c>
      <c r="C29" s="18" t="s">
        <v>338</v>
      </c>
      <c r="D29" s="19" t="s">
        <v>339</v>
      </c>
      <c r="E29" s="20" t="s">
        <v>340</v>
      </c>
      <c r="F29" s="21" t="s">
        <v>341</v>
      </c>
    </row>
    <row r="30" customFormat="false" ht="18" hidden="false" customHeight="true" outlineLevel="0" collapsed="false">
      <c r="A30" s="8" t="s">
        <v>342</v>
      </c>
      <c r="B30" s="8"/>
      <c r="C30" s="8"/>
      <c r="D30" s="8"/>
      <c r="E30" s="8"/>
      <c r="F30" s="8"/>
    </row>
    <row r="31" customFormat="false" ht="57.75" hidden="false" customHeight="true" outlineLevel="0" collapsed="false">
      <c r="A31" s="9" t="s">
        <v>96</v>
      </c>
      <c r="B31" s="17" t="s">
        <v>343</v>
      </c>
      <c r="C31" s="18" t="s">
        <v>344</v>
      </c>
      <c r="D31" s="19" t="s">
        <v>345</v>
      </c>
      <c r="E31" s="20" t="s">
        <v>346</v>
      </c>
      <c r="F31" s="21" t="s">
        <v>347</v>
      </c>
    </row>
    <row r="32" customFormat="false" ht="57.75" hidden="false" customHeight="true" outlineLevel="0" collapsed="false">
      <c r="A32" s="11" t="s">
        <v>100</v>
      </c>
      <c r="B32" s="22" t="s">
        <v>348</v>
      </c>
      <c r="C32" s="18" t="s">
        <v>349</v>
      </c>
      <c r="D32" s="19" t="s">
        <v>350</v>
      </c>
      <c r="E32" s="20" t="s">
        <v>351</v>
      </c>
      <c r="F32" s="21" t="s">
        <v>352</v>
      </c>
    </row>
    <row r="33" customFormat="false" ht="18" hidden="false" customHeight="true" outlineLevel="0" collapsed="false">
      <c r="A33" s="8" t="s">
        <v>353</v>
      </c>
      <c r="B33" s="8"/>
      <c r="C33" s="8"/>
      <c r="D33" s="8"/>
      <c r="E33" s="8"/>
      <c r="F33" s="8"/>
    </row>
    <row r="34" customFormat="false" ht="57.75" hidden="false" customHeight="true" outlineLevel="0" collapsed="false">
      <c r="A34" s="9" t="s">
        <v>105</v>
      </c>
      <c r="B34" s="17" t="s">
        <v>354</v>
      </c>
      <c r="C34" s="18" t="s">
        <v>355</v>
      </c>
      <c r="D34" s="19" t="s">
        <v>356</v>
      </c>
      <c r="E34" s="20" t="s">
        <v>357</v>
      </c>
      <c r="F34" s="21" t="s">
        <v>358</v>
      </c>
    </row>
    <row r="35" customFormat="false" ht="57.75" hidden="false" customHeight="true" outlineLevel="0" collapsed="false">
      <c r="A35" s="11" t="s">
        <v>110</v>
      </c>
      <c r="B35" s="22" t="s">
        <v>359</v>
      </c>
      <c r="C35" s="18" t="s">
        <v>360</v>
      </c>
      <c r="D35" s="19" t="s">
        <v>361</v>
      </c>
      <c r="E35" s="20" t="s">
        <v>362</v>
      </c>
      <c r="F35" s="21" t="s">
        <v>363</v>
      </c>
    </row>
  </sheetData>
  <mergeCells count="10">
    <mergeCell ref="A1:F1"/>
    <mergeCell ref="A2:F2"/>
    <mergeCell ref="A3:F3"/>
    <mergeCell ref="A12:F12"/>
    <mergeCell ref="A14:F14"/>
    <mergeCell ref="A18:F18"/>
    <mergeCell ref="A22:F22"/>
    <mergeCell ref="A26:F26"/>
    <mergeCell ref="A30:F30"/>
    <mergeCell ref="A33:F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3" min="3" style="0" width="34"/>
    <col collapsed="false" customWidth="true" hidden="false" outlineLevel="0" max="4" min="4" style="0" width="12"/>
    <col collapsed="false" customWidth="true" hidden="false" outlineLevel="0" max="5" min="5" style="0" width="30"/>
  </cols>
  <sheetData>
    <row r="1" customFormat="false" ht="37.5" hidden="false" customHeight="true" outlineLevel="0" collapsed="false">
      <c r="A1" s="1" t="s">
        <v>364</v>
      </c>
      <c r="B1" s="1"/>
      <c r="C1" s="1"/>
      <c r="D1" s="1"/>
      <c r="E1" s="1"/>
    </row>
    <row r="2" customFormat="false" ht="21.75" hidden="false" customHeight="true" outlineLevel="0" collapsed="false">
      <c r="A2" s="2" t="s">
        <v>365</v>
      </c>
      <c r="B2" s="2"/>
      <c r="C2" s="2"/>
      <c r="D2" s="2"/>
      <c r="E2" s="2"/>
    </row>
    <row r="3" customFormat="false" ht="19.5" hidden="false" customHeight="true" outlineLevel="0" collapsed="false">
      <c r="A3" s="3" t="s">
        <v>366</v>
      </c>
      <c r="B3" s="3"/>
      <c r="C3" s="3"/>
      <c r="D3" s="3"/>
      <c r="E3" s="3"/>
    </row>
    <row r="4" customFormat="false" ht="18" hidden="false" customHeight="true" outlineLevel="0" collapsed="false">
      <c r="A4" s="5" t="s">
        <v>367</v>
      </c>
      <c r="B4" s="5"/>
      <c r="C4" s="5"/>
      <c r="D4" s="5"/>
      <c r="E4" s="5"/>
    </row>
    <row r="5" customFormat="false" ht="18" hidden="false" customHeight="true" outlineLevel="0" collapsed="false">
      <c r="A5" s="5" t="s">
        <v>368</v>
      </c>
      <c r="B5" s="5"/>
      <c r="C5" s="5"/>
      <c r="D5" s="5"/>
      <c r="E5" s="5"/>
    </row>
    <row r="6" customFormat="false" ht="18" hidden="false" customHeight="true" outlineLevel="0" collapsed="false">
      <c r="A6" s="5" t="s">
        <v>369</v>
      </c>
      <c r="B6" s="5"/>
      <c r="C6" s="5"/>
      <c r="D6" s="5"/>
      <c r="E6" s="5"/>
    </row>
    <row r="7" customFormat="false" ht="18" hidden="false" customHeight="true" outlineLevel="0" collapsed="false">
      <c r="A7" s="5" t="s">
        <v>370</v>
      </c>
      <c r="B7" s="5"/>
      <c r="C7" s="5"/>
      <c r="D7" s="5"/>
      <c r="E7" s="5"/>
    </row>
    <row r="8" customFormat="false" ht="19.5" hidden="false" customHeight="true" outlineLevel="0" collapsed="false">
      <c r="A8" s="14" t="s">
        <v>371</v>
      </c>
      <c r="B8" s="14"/>
      <c r="C8" s="14"/>
      <c r="D8" s="14"/>
      <c r="E8" s="14"/>
    </row>
    <row r="9" customFormat="false" ht="24" hidden="false" customHeight="true" outlineLevel="0" collapsed="false">
      <c r="A9" s="7" t="s">
        <v>26</v>
      </c>
      <c r="B9" s="7" t="s">
        <v>372</v>
      </c>
      <c r="C9" s="7" t="s">
        <v>373</v>
      </c>
      <c r="D9" s="7" t="s">
        <v>374</v>
      </c>
      <c r="E9" s="7" t="s">
        <v>375</v>
      </c>
    </row>
    <row r="10" customFormat="false" ht="18" hidden="false" customHeight="true" outlineLevel="0" collapsed="false">
      <c r="A10" s="8" t="s">
        <v>376</v>
      </c>
      <c r="B10" s="8"/>
      <c r="C10" s="8"/>
      <c r="D10" s="8"/>
      <c r="E10" s="8"/>
    </row>
    <row r="11" customFormat="false" ht="30" hidden="false" customHeight="true" outlineLevel="0" collapsed="false">
      <c r="A11" s="9" t="s">
        <v>33</v>
      </c>
      <c r="B11" s="5" t="s">
        <v>377</v>
      </c>
      <c r="C11" s="5"/>
      <c r="D11" s="10"/>
      <c r="E11" s="5"/>
    </row>
    <row r="12" customFormat="false" ht="30" hidden="false" customHeight="true" outlineLevel="0" collapsed="false">
      <c r="A12" s="11" t="s">
        <v>39</v>
      </c>
      <c r="B12" s="12" t="s">
        <v>378</v>
      </c>
      <c r="C12" s="12"/>
      <c r="D12" s="13"/>
      <c r="E12" s="12"/>
    </row>
    <row r="13" customFormat="false" ht="30" hidden="false" customHeight="true" outlineLevel="0" collapsed="false">
      <c r="A13" s="9" t="s">
        <v>44</v>
      </c>
      <c r="B13" s="5" t="s">
        <v>379</v>
      </c>
      <c r="C13" s="5"/>
      <c r="D13" s="10"/>
      <c r="E13" s="5"/>
    </row>
    <row r="14" customFormat="false" ht="19.5" hidden="false" customHeight="true" outlineLevel="0" collapsed="false">
      <c r="A14" s="11" t="s">
        <v>380</v>
      </c>
      <c r="B14" s="22" t="s">
        <v>381</v>
      </c>
      <c r="C14" s="13"/>
      <c r="D14" s="11" t="s">
        <v>382</v>
      </c>
      <c r="E14" s="12"/>
    </row>
    <row r="15" customFormat="false" ht="18" hidden="false" customHeight="true" outlineLevel="0" collapsed="false">
      <c r="A15" s="8" t="s">
        <v>383</v>
      </c>
      <c r="B15" s="8"/>
      <c r="C15" s="8"/>
      <c r="D15" s="8"/>
      <c r="E15" s="8"/>
    </row>
    <row r="16" customFormat="false" ht="30" hidden="false" customHeight="true" outlineLevel="0" collapsed="false">
      <c r="A16" s="9" t="s">
        <v>51</v>
      </c>
      <c r="B16" s="5" t="s">
        <v>384</v>
      </c>
      <c r="C16" s="5"/>
      <c r="D16" s="10"/>
      <c r="E16" s="5"/>
    </row>
    <row r="17" customFormat="false" ht="30" hidden="false" customHeight="true" outlineLevel="0" collapsed="false">
      <c r="A17" s="11" t="s">
        <v>56</v>
      </c>
      <c r="B17" s="12" t="s">
        <v>385</v>
      </c>
      <c r="C17" s="12"/>
      <c r="D17" s="13"/>
      <c r="E17" s="12"/>
    </row>
    <row r="18" customFormat="false" ht="30" hidden="false" customHeight="true" outlineLevel="0" collapsed="false">
      <c r="A18" s="9" t="s">
        <v>61</v>
      </c>
      <c r="B18" s="5" t="s">
        <v>386</v>
      </c>
      <c r="C18" s="5"/>
      <c r="D18" s="10"/>
      <c r="E18" s="5"/>
    </row>
    <row r="19" customFormat="false" ht="19.5" hidden="false" customHeight="true" outlineLevel="0" collapsed="false">
      <c r="A19" s="11" t="s">
        <v>380</v>
      </c>
      <c r="B19" s="22" t="s">
        <v>387</v>
      </c>
      <c r="C19" s="13"/>
      <c r="D19" s="11" t="s">
        <v>382</v>
      </c>
      <c r="E19" s="12"/>
    </row>
    <row r="20" customFormat="false" ht="18" hidden="false" customHeight="true" outlineLevel="0" collapsed="false">
      <c r="A20" s="8" t="s">
        <v>388</v>
      </c>
      <c r="B20" s="8"/>
      <c r="C20" s="8"/>
      <c r="D20" s="8"/>
      <c r="E20" s="8"/>
    </row>
    <row r="21" customFormat="false" ht="30" hidden="false" customHeight="true" outlineLevel="0" collapsed="false">
      <c r="A21" s="9" t="s">
        <v>66</v>
      </c>
      <c r="B21" s="5" t="s">
        <v>389</v>
      </c>
      <c r="C21" s="5"/>
      <c r="D21" s="10"/>
      <c r="E21" s="5"/>
    </row>
    <row r="22" customFormat="false" ht="30" hidden="false" customHeight="true" outlineLevel="0" collapsed="false">
      <c r="A22" s="11" t="s">
        <v>71</v>
      </c>
      <c r="B22" s="12" t="s">
        <v>390</v>
      </c>
      <c r="C22" s="12"/>
      <c r="D22" s="13"/>
      <c r="E22" s="12"/>
    </row>
    <row r="23" customFormat="false" ht="30" hidden="false" customHeight="true" outlineLevel="0" collapsed="false">
      <c r="A23" s="9" t="s">
        <v>76</v>
      </c>
      <c r="B23" s="5" t="s">
        <v>391</v>
      </c>
      <c r="C23" s="5"/>
      <c r="D23" s="10"/>
      <c r="E23" s="5"/>
    </row>
    <row r="24" customFormat="false" ht="19.5" hidden="false" customHeight="true" outlineLevel="0" collapsed="false">
      <c r="A24" s="11" t="s">
        <v>380</v>
      </c>
      <c r="B24" s="22" t="s">
        <v>392</v>
      </c>
      <c r="C24" s="13"/>
      <c r="D24" s="11" t="s">
        <v>382</v>
      </c>
      <c r="E24" s="12"/>
    </row>
    <row r="25" customFormat="false" ht="18" hidden="false" customHeight="true" outlineLevel="0" collapsed="false">
      <c r="A25" s="8" t="s">
        <v>393</v>
      </c>
      <c r="B25" s="8"/>
      <c r="C25" s="8"/>
      <c r="D25" s="8"/>
      <c r="E25" s="8"/>
    </row>
    <row r="26" customFormat="false" ht="30" hidden="false" customHeight="true" outlineLevel="0" collapsed="false">
      <c r="A26" s="9" t="s">
        <v>81</v>
      </c>
      <c r="B26" s="5" t="s">
        <v>394</v>
      </c>
      <c r="C26" s="5"/>
      <c r="D26" s="10"/>
      <c r="E26" s="5"/>
    </row>
    <row r="27" customFormat="false" ht="30" hidden="false" customHeight="true" outlineLevel="0" collapsed="false">
      <c r="A27" s="11" t="s">
        <v>87</v>
      </c>
      <c r="B27" s="12" t="s">
        <v>395</v>
      </c>
      <c r="C27" s="12"/>
      <c r="D27" s="13"/>
      <c r="E27" s="12"/>
    </row>
    <row r="28" customFormat="false" ht="30" hidden="false" customHeight="true" outlineLevel="0" collapsed="false">
      <c r="A28" s="9" t="s">
        <v>91</v>
      </c>
      <c r="B28" s="5" t="s">
        <v>396</v>
      </c>
      <c r="C28" s="5"/>
      <c r="D28" s="10"/>
      <c r="E28" s="5"/>
    </row>
    <row r="29" customFormat="false" ht="19.5" hidden="false" customHeight="true" outlineLevel="0" collapsed="false">
      <c r="A29" s="11" t="s">
        <v>380</v>
      </c>
      <c r="B29" s="22" t="s">
        <v>397</v>
      </c>
      <c r="C29" s="13"/>
      <c r="D29" s="11" t="s">
        <v>382</v>
      </c>
      <c r="E29" s="12"/>
    </row>
    <row r="30" customFormat="false" ht="18" hidden="false" customHeight="true" outlineLevel="0" collapsed="false">
      <c r="A30" s="8" t="s">
        <v>398</v>
      </c>
      <c r="B30" s="8"/>
      <c r="C30" s="8"/>
      <c r="D30" s="8"/>
      <c r="E30" s="8"/>
    </row>
    <row r="31" customFormat="false" ht="30" hidden="false" customHeight="true" outlineLevel="0" collapsed="false">
      <c r="A31" s="9" t="s">
        <v>96</v>
      </c>
      <c r="B31" s="5" t="s">
        <v>399</v>
      </c>
      <c r="C31" s="5"/>
      <c r="D31" s="10"/>
      <c r="E31" s="5"/>
    </row>
    <row r="32" customFormat="false" ht="30" hidden="false" customHeight="true" outlineLevel="0" collapsed="false">
      <c r="A32" s="11" t="s">
        <v>100</v>
      </c>
      <c r="B32" s="12" t="s">
        <v>400</v>
      </c>
      <c r="C32" s="12"/>
      <c r="D32" s="13"/>
      <c r="E32" s="12"/>
    </row>
    <row r="33" customFormat="false" ht="19.5" hidden="false" customHeight="true" outlineLevel="0" collapsed="false">
      <c r="A33" s="11" t="s">
        <v>380</v>
      </c>
      <c r="B33" s="22" t="s">
        <v>401</v>
      </c>
      <c r="C33" s="13"/>
      <c r="D33" s="11" t="s">
        <v>382</v>
      </c>
      <c r="E33" s="12"/>
    </row>
    <row r="34" customFormat="false" ht="18" hidden="false" customHeight="true" outlineLevel="0" collapsed="false">
      <c r="A34" s="8" t="s">
        <v>402</v>
      </c>
      <c r="B34" s="8"/>
      <c r="C34" s="8"/>
      <c r="D34" s="8"/>
      <c r="E34" s="8"/>
    </row>
    <row r="35" customFormat="false" ht="30" hidden="false" customHeight="true" outlineLevel="0" collapsed="false">
      <c r="A35" s="9" t="s">
        <v>105</v>
      </c>
      <c r="B35" s="5" t="s">
        <v>403</v>
      </c>
      <c r="C35" s="5"/>
      <c r="D35" s="10"/>
      <c r="E35" s="5"/>
    </row>
    <row r="36" customFormat="false" ht="30" hidden="false" customHeight="true" outlineLevel="0" collapsed="false">
      <c r="A36" s="11" t="s">
        <v>110</v>
      </c>
      <c r="B36" s="12" t="s">
        <v>404</v>
      </c>
      <c r="C36" s="12"/>
      <c r="D36" s="13"/>
      <c r="E36" s="12"/>
    </row>
    <row r="37" customFormat="false" ht="19.5" hidden="false" customHeight="true" outlineLevel="0" collapsed="false">
      <c r="A37" s="11" t="s">
        <v>380</v>
      </c>
      <c r="B37" s="22" t="s">
        <v>405</v>
      </c>
      <c r="C37" s="13"/>
      <c r="D37" s="11" t="s">
        <v>382</v>
      </c>
      <c r="E37" s="12"/>
    </row>
    <row r="38" customFormat="false" ht="19.5" hidden="false" customHeight="true" outlineLevel="0" collapsed="false">
      <c r="A38" s="3" t="s">
        <v>406</v>
      </c>
      <c r="B38" s="3"/>
      <c r="C38" s="3"/>
      <c r="D38" s="3"/>
      <c r="E38" s="3"/>
    </row>
    <row r="39" customFormat="false" ht="19.5" hidden="false" customHeight="true" outlineLevel="0" collapsed="false">
      <c r="A39" s="23" t="s">
        <v>407</v>
      </c>
      <c r="B39" s="23"/>
      <c r="C39" s="23"/>
      <c r="D39" s="23"/>
      <c r="E39" s="23"/>
    </row>
    <row r="40" customFormat="false" ht="18" hidden="false" customHeight="true" outlineLevel="0" collapsed="false">
      <c r="A40" s="5" t="s">
        <v>408</v>
      </c>
      <c r="B40" s="5"/>
      <c r="C40" s="5"/>
      <c r="D40" s="5"/>
      <c r="E40" s="5"/>
    </row>
    <row r="41" customFormat="false" ht="21.75" hidden="false" customHeight="true" outlineLevel="0" collapsed="false">
      <c r="A41" s="5" t="s">
        <v>409</v>
      </c>
      <c r="B41" s="5"/>
      <c r="C41" s="5"/>
      <c r="D41" s="5"/>
      <c r="E41" s="5"/>
    </row>
    <row r="42" customFormat="false" ht="21.75" hidden="false" customHeight="true" outlineLevel="0" collapsed="false">
      <c r="A42" s="5" t="s">
        <v>410</v>
      </c>
      <c r="B42" s="5"/>
      <c r="C42" s="5"/>
      <c r="D42" s="5"/>
      <c r="E42" s="5"/>
    </row>
    <row r="43" customFormat="false" ht="21.75" hidden="false" customHeight="true" outlineLevel="0" collapsed="false">
      <c r="A43" s="5" t="s">
        <v>411</v>
      </c>
      <c r="B43" s="5"/>
      <c r="C43" s="5"/>
      <c r="D43" s="5"/>
      <c r="E43" s="5"/>
    </row>
    <row r="44" customFormat="false" ht="19.5" hidden="false" customHeight="true" outlineLevel="0" collapsed="false">
      <c r="A44" s="16" t="s">
        <v>412</v>
      </c>
      <c r="B44" s="16"/>
      <c r="C44" s="16"/>
      <c r="D44" s="16"/>
      <c r="E44" s="16"/>
    </row>
  </sheetData>
  <mergeCells count="21">
    <mergeCell ref="A1:E1"/>
    <mergeCell ref="A2:E2"/>
    <mergeCell ref="A3:E3"/>
    <mergeCell ref="A4:E4"/>
    <mergeCell ref="A5:E5"/>
    <mergeCell ref="A6:E6"/>
    <mergeCell ref="A7:E7"/>
    <mergeCell ref="A8:E8"/>
    <mergeCell ref="A10:E10"/>
    <mergeCell ref="A15:E15"/>
    <mergeCell ref="A20:E20"/>
    <mergeCell ref="A25:E25"/>
    <mergeCell ref="A30:E30"/>
    <mergeCell ref="A34:E34"/>
    <mergeCell ref="A38:E38"/>
    <mergeCell ref="A39:E39"/>
    <mergeCell ref="A40:E40"/>
    <mergeCell ref="A41:E41"/>
    <mergeCell ref="A42:E42"/>
    <mergeCell ref="A43:E43"/>
    <mergeCell ref="A44:E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3" min="3" style="0" width="46"/>
    <col collapsed="false" customWidth="true" hidden="false" outlineLevel="0" max="4" min="4" style="0" width="10"/>
    <col collapsed="false" customWidth="true" hidden="false" outlineLevel="0" max="5" min="5" style="0" width="24"/>
  </cols>
  <sheetData>
    <row r="1" customFormat="false" ht="37.5" hidden="false" customHeight="true" outlineLevel="0" collapsed="false">
      <c r="A1" s="1" t="s">
        <v>413</v>
      </c>
      <c r="B1" s="1"/>
      <c r="C1" s="1"/>
      <c r="D1" s="1"/>
      <c r="E1" s="1"/>
    </row>
    <row r="2" customFormat="false" ht="21.75" hidden="false" customHeight="true" outlineLevel="0" collapsed="false">
      <c r="A2" s="2" t="s">
        <v>414</v>
      </c>
      <c r="B2" s="2"/>
      <c r="C2" s="2"/>
      <c r="D2" s="2"/>
      <c r="E2" s="2"/>
    </row>
    <row r="3" customFormat="false" ht="39.75" hidden="false" customHeight="true" outlineLevel="0" collapsed="false">
      <c r="A3" s="6" t="s">
        <v>415</v>
      </c>
      <c r="B3" s="6"/>
      <c r="C3" s="6"/>
      <c r="D3" s="6"/>
      <c r="E3" s="6"/>
    </row>
    <row r="4" customFormat="false" ht="24" hidden="false" customHeight="true" outlineLevel="0" collapsed="false">
      <c r="A4" s="7" t="s">
        <v>26</v>
      </c>
      <c r="B4" s="7" t="s">
        <v>416</v>
      </c>
      <c r="C4" s="7" t="s">
        <v>417</v>
      </c>
      <c r="D4" s="7" t="s">
        <v>418</v>
      </c>
      <c r="E4" s="7" t="s">
        <v>419</v>
      </c>
    </row>
    <row r="5" customFormat="false" ht="18" hidden="false" customHeight="true" outlineLevel="0" collapsed="false">
      <c r="A5" s="8" t="s">
        <v>420</v>
      </c>
      <c r="B5" s="8"/>
      <c r="C5" s="8"/>
      <c r="D5" s="8"/>
      <c r="E5" s="8"/>
    </row>
    <row r="6" customFormat="false" ht="72" hidden="false" customHeight="true" outlineLevel="0" collapsed="false">
      <c r="A6" s="9" t="s">
        <v>121</v>
      </c>
      <c r="B6" s="5" t="s">
        <v>421</v>
      </c>
      <c r="C6" s="5" t="s">
        <v>422</v>
      </c>
      <c r="D6" s="10"/>
      <c r="E6" s="5"/>
    </row>
    <row r="7" customFormat="false" ht="72" hidden="false" customHeight="true" outlineLevel="0" collapsed="false">
      <c r="A7" s="11" t="s">
        <v>127</v>
      </c>
      <c r="B7" s="12" t="s">
        <v>423</v>
      </c>
      <c r="C7" s="12" t="s">
        <v>424</v>
      </c>
      <c r="D7" s="13"/>
      <c r="E7" s="12"/>
    </row>
    <row r="8" customFormat="false" ht="18" hidden="false" customHeight="true" outlineLevel="0" collapsed="false">
      <c r="A8" s="8" t="s">
        <v>425</v>
      </c>
      <c r="B8" s="8"/>
      <c r="C8" s="8"/>
      <c r="D8" s="8"/>
      <c r="E8" s="8"/>
    </row>
    <row r="9" customFormat="false" ht="72" hidden="false" customHeight="true" outlineLevel="0" collapsed="false">
      <c r="A9" s="9" t="s">
        <v>133</v>
      </c>
      <c r="B9" s="5" t="s">
        <v>426</v>
      </c>
      <c r="C9" s="5" t="s">
        <v>427</v>
      </c>
      <c r="D9" s="10"/>
      <c r="E9" s="5"/>
    </row>
    <row r="10" customFormat="false" ht="72" hidden="false" customHeight="true" outlineLevel="0" collapsed="false">
      <c r="A10" s="11" t="s">
        <v>139</v>
      </c>
      <c r="B10" s="12" t="s">
        <v>428</v>
      </c>
      <c r="C10" s="12" t="s">
        <v>429</v>
      </c>
      <c r="D10" s="13"/>
      <c r="E10" s="12"/>
    </row>
    <row r="11" customFormat="false" ht="18" hidden="false" customHeight="true" outlineLevel="0" collapsed="false">
      <c r="A11" s="8" t="s">
        <v>430</v>
      </c>
      <c r="B11" s="8"/>
      <c r="C11" s="8"/>
      <c r="D11" s="8"/>
      <c r="E11" s="8"/>
    </row>
    <row r="12" customFormat="false" ht="72" hidden="false" customHeight="true" outlineLevel="0" collapsed="false">
      <c r="A12" s="9" t="s">
        <v>145</v>
      </c>
      <c r="B12" s="5" t="s">
        <v>431</v>
      </c>
      <c r="C12" s="5" t="s">
        <v>432</v>
      </c>
      <c r="D12" s="10"/>
      <c r="E12" s="5"/>
    </row>
    <row r="13" customFormat="false" ht="72" hidden="false" customHeight="true" outlineLevel="0" collapsed="false">
      <c r="A13" s="11" t="s">
        <v>151</v>
      </c>
      <c r="B13" s="12" t="s">
        <v>433</v>
      </c>
      <c r="C13" s="12" t="s">
        <v>434</v>
      </c>
      <c r="D13" s="13"/>
      <c r="E13" s="12"/>
    </row>
    <row r="14" customFormat="false" ht="18" hidden="false" customHeight="true" outlineLevel="0" collapsed="false">
      <c r="A14" s="8" t="s">
        <v>435</v>
      </c>
      <c r="B14" s="8"/>
      <c r="C14" s="8"/>
      <c r="D14" s="8"/>
      <c r="E14" s="8"/>
    </row>
    <row r="15" customFormat="false" ht="72" hidden="false" customHeight="true" outlineLevel="0" collapsed="false">
      <c r="A15" s="9" t="s">
        <v>436</v>
      </c>
      <c r="B15" s="5" t="s">
        <v>437</v>
      </c>
      <c r="C15" s="5" t="s">
        <v>438</v>
      </c>
      <c r="D15" s="10"/>
      <c r="E15" s="5"/>
    </row>
    <row r="16" customFormat="false" ht="72" hidden="false" customHeight="true" outlineLevel="0" collapsed="false">
      <c r="A16" s="11" t="s">
        <v>439</v>
      </c>
      <c r="B16" s="12" t="s">
        <v>440</v>
      </c>
      <c r="C16" s="12" t="s">
        <v>441</v>
      </c>
      <c r="D16" s="13"/>
      <c r="E16" s="12"/>
    </row>
  </sheetData>
  <mergeCells count="7">
    <mergeCell ref="A1:E1"/>
    <mergeCell ref="A2:E2"/>
    <mergeCell ref="A3:E3"/>
    <mergeCell ref="A5:E5"/>
    <mergeCell ref="A8:E8"/>
    <mergeCell ref="A11:E11"/>
    <mergeCell ref="A14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30"/>
  </cols>
  <sheetData>
    <row r="1" customFormat="false" ht="37.5" hidden="false" customHeight="true" outlineLevel="0" collapsed="false">
      <c r="A1" s="1" t="s">
        <v>442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443</v>
      </c>
      <c r="B2" s="2"/>
      <c r="C2" s="2"/>
      <c r="D2" s="2"/>
      <c r="E2" s="2"/>
      <c r="F2" s="2"/>
    </row>
    <row r="3" customFormat="false" ht="19.5" hidden="false" customHeight="true" outlineLevel="0" collapsed="false">
      <c r="A3" s="3" t="s">
        <v>444</v>
      </c>
      <c r="B3" s="3"/>
      <c r="C3" s="3"/>
      <c r="D3" s="3"/>
      <c r="E3" s="3"/>
      <c r="F3" s="3"/>
    </row>
    <row r="4" customFormat="false" ht="18" hidden="false" customHeight="true" outlineLevel="0" collapsed="false">
      <c r="A4" s="5" t="s">
        <v>445</v>
      </c>
      <c r="B4" s="5"/>
      <c r="C4" s="5"/>
      <c r="D4" s="5"/>
      <c r="E4" s="5"/>
      <c r="F4" s="5"/>
    </row>
    <row r="5" customFormat="false" ht="18" hidden="false" customHeight="true" outlineLevel="0" collapsed="false">
      <c r="A5" s="5" t="s">
        <v>446</v>
      </c>
      <c r="B5" s="5"/>
      <c r="C5" s="5"/>
      <c r="D5" s="5"/>
      <c r="E5" s="5"/>
      <c r="F5" s="5"/>
    </row>
    <row r="6" customFormat="false" ht="18" hidden="false" customHeight="true" outlineLevel="0" collapsed="false">
      <c r="A6" s="5" t="s">
        <v>447</v>
      </c>
      <c r="B6" s="5"/>
      <c r="C6" s="5"/>
      <c r="D6" s="5"/>
      <c r="E6" s="5"/>
      <c r="F6" s="5"/>
    </row>
    <row r="7" customFormat="false" ht="18" hidden="false" customHeight="true" outlineLevel="0" collapsed="false">
      <c r="A7" s="5" t="s">
        <v>448</v>
      </c>
      <c r="B7" s="5"/>
      <c r="C7" s="5"/>
      <c r="D7" s="5"/>
      <c r="E7" s="5"/>
      <c r="F7" s="5"/>
    </row>
    <row r="8" customFormat="false" ht="19.5" hidden="false" customHeight="true" outlineLevel="0" collapsed="false">
      <c r="A8" s="3" t="s">
        <v>449</v>
      </c>
      <c r="B8" s="3"/>
      <c r="C8" s="3"/>
      <c r="D8" s="3"/>
      <c r="E8" s="3"/>
      <c r="F8" s="3"/>
    </row>
    <row r="9" customFormat="false" ht="24" hidden="false" customHeight="true" outlineLevel="0" collapsed="false">
      <c r="A9" s="7" t="s">
        <v>263</v>
      </c>
      <c r="B9" s="7" t="s">
        <v>117</v>
      </c>
      <c r="C9" s="7" t="s">
        <v>418</v>
      </c>
      <c r="D9" s="7" t="s">
        <v>450</v>
      </c>
      <c r="E9" s="7" t="s">
        <v>451</v>
      </c>
      <c r="F9" s="7" t="s">
        <v>452</v>
      </c>
    </row>
    <row r="10" customFormat="false" ht="21.75" hidden="false" customHeight="true" outlineLevel="0" collapsed="false">
      <c r="A10" s="17" t="s">
        <v>453</v>
      </c>
      <c r="B10" s="10" t="s">
        <v>123</v>
      </c>
      <c r="C10" s="10"/>
      <c r="D10" s="10" t="str">
        <f aca="false">IF(C10="","",C10*0.25)</f>
        <v/>
      </c>
      <c r="E10" s="10" t="s">
        <v>454</v>
      </c>
      <c r="F10" s="5"/>
    </row>
    <row r="11" customFormat="false" ht="21.75" hidden="false" customHeight="true" outlineLevel="0" collapsed="false">
      <c r="A11" s="22" t="s">
        <v>455</v>
      </c>
      <c r="B11" s="13" t="s">
        <v>186</v>
      </c>
      <c r="C11" s="13"/>
      <c r="D11" s="13" t="str">
        <f aca="false">IF(C11="","",C11*0.22)</f>
        <v/>
      </c>
      <c r="E11" s="13" t="s">
        <v>454</v>
      </c>
      <c r="F11" s="12"/>
    </row>
    <row r="12" customFormat="false" ht="21.75" hidden="false" customHeight="true" outlineLevel="0" collapsed="false">
      <c r="A12" s="17" t="s">
        <v>456</v>
      </c>
      <c r="B12" s="10" t="s">
        <v>135</v>
      </c>
      <c r="C12" s="10"/>
      <c r="D12" s="10" t="str">
        <f aca="false">IF(C12="","",C12*0.18)</f>
        <v/>
      </c>
      <c r="E12" s="10" t="s">
        <v>454</v>
      </c>
      <c r="F12" s="5"/>
    </row>
    <row r="13" customFormat="false" ht="21.75" hidden="false" customHeight="true" outlineLevel="0" collapsed="false">
      <c r="A13" s="22" t="s">
        <v>457</v>
      </c>
      <c r="B13" s="13" t="s">
        <v>141</v>
      </c>
      <c r="C13" s="13"/>
      <c r="D13" s="13" t="str">
        <f aca="false">IF(C13="","",C13*0.15)</f>
        <v/>
      </c>
      <c r="E13" s="13" t="s">
        <v>454</v>
      </c>
      <c r="F13" s="12"/>
    </row>
    <row r="14" customFormat="false" ht="21.75" hidden="false" customHeight="true" outlineLevel="0" collapsed="false">
      <c r="A14" s="17" t="s">
        <v>458</v>
      </c>
      <c r="B14" s="10" t="s">
        <v>147</v>
      </c>
      <c r="C14" s="10"/>
      <c r="D14" s="10" t="str">
        <f aca="false">IF(C14="","",C14*0.12)</f>
        <v/>
      </c>
      <c r="E14" s="10" t="s">
        <v>454</v>
      </c>
      <c r="F14" s="5"/>
    </row>
    <row r="15" customFormat="false" ht="21.75" hidden="false" customHeight="true" outlineLevel="0" collapsed="false">
      <c r="A15" s="22" t="s">
        <v>459</v>
      </c>
      <c r="B15" s="13" t="s">
        <v>199</v>
      </c>
      <c r="C15" s="13"/>
      <c r="D15" s="13" t="str">
        <f aca="false">IF(C15="","",C15*0.08)</f>
        <v/>
      </c>
      <c r="E15" s="13" t="s">
        <v>454</v>
      </c>
      <c r="F15" s="12"/>
    </row>
    <row r="16" customFormat="false" ht="21.75" hidden="false" customHeight="true" outlineLevel="0" collapsed="false">
      <c r="A16" s="14" t="s">
        <v>460</v>
      </c>
      <c r="B16" s="8"/>
      <c r="C16" s="8"/>
      <c r="D16" s="7" t="n">
        <f aca="false">SUM(D10:D15)</f>
        <v>0</v>
      </c>
      <c r="E16" s="8"/>
      <c r="F16" s="8"/>
    </row>
    <row r="17" customFormat="false" ht="19.5" hidden="false" customHeight="true" outlineLevel="0" collapsed="false">
      <c r="A17" s="3" t="s">
        <v>461</v>
      </c>
      <c r="B17" s="3"/>
      <c r="C17" s="3"/>
      <c r="D17" s="3"/>
      <c r="E17" s="3"/>
      <c r="F17" s="3"/>
    </row>
    <row r="18" customFormat="false" ht="19.5" hidden="false" customHeight="true" outlineLevel="0" collapsed="false">
      <c r="A18" s="5" t="s">
        <v>462</v>
      </c>
      <c r="B18" s="5"/>
      <c r="C18" s="5"/>
      <c r="D18" s="5"/>
      <c r="E18" s="5"/>
      <c r="F18" s="5"/>
    </row>
    <row r="19" customFormat="false" ht="19.5" hidden="false" customHeight="true" outlineLevel="0" collapsed="false">
      <c r="A19" s="5" t="s">
        <v>463</v>
      </c>
      <c r="B19" s="5"/>
      <c r="C19" s="5"/>
      <c r="D19" s="5"/>
      <c r="E19" s="5"/>
      <c r="F19" s="5"/>
    </row>
    <row r="20" customFormat="false" ht="19.5" hidden="false" customHeight="true" outlineLevel="0" collapsed="false">
      <c r="A20" s="5" t="s">
        <v>464</v>
      </c>
      <c r="B20" s="5"/>
      <c r="C20" s="5"/>
      <c r="D20" s="5"/>
      <c r="E20" s="5"/>
      <c r="F20" s="5"/>
    </row>
    <row r="21" customFormat="false" ht="19.5" hidden="false" customHeight="true" outlineLevel="0" collapsed="false">
      <c r="A21" s="5" t="s">
        <v>465</v>
      </c>
      <c r="B21" s="5"/>
      <c r="C21" s="5"/>
      <c r="D21" s="5"/>
      <c r="E21" s="5"/>
      <c r="F21" s="5"/>
    </row>
    <row r="22" customFormat="false" ht="19.5" hidden="false" customHeight="true" outlineLevel="0" collapsed="false">
      <c r="A22" s="5" t="s">
        <v>466</v>
      </c>
      <c r="B22" s="5"/>
      <c r="C22" s="5"/>
      <c r="D22" s="5"/>
      <c r="E22" s="5"/>
      <c r="F22" s="5"/>
    </row>
    <row r="23" customFormat="false" ht="19.5" hidden="false" customHeight="true" outlineLevel="0" collapsed="false">
      <c r="A23" s="5" t="s">
        <v>467</v>
      </c>
      <c r="B23" s="5"/>
      <c r="C23" s="5"/>
      <c r="D23" s="5"/>
      <c r="E23" s="5"/>
      <c r="F23" s="5"/>
    </row>
    <row r="24" customFormat="false" ht="19.5" hidden="false" customHeight="true" outlineLevel="0" collapsed="false">
      <c r="A24" s="3" t="s">
        <v>468</v>
      </c>
      <c r="B24" s="3"/>
      <c r="C24" s="3"/>
      <c r="D24" s="3"/>
      <c r="E24" s="3"/>
      <c r="F24" s="3"/>
    </row>
    <row r="25" customFormat="false" ht="21.75" hidden="false" customHeight="true" outlineLevel="0" collapsed="false">
      <c r="A25" s="17" t="s">
        <v>469</v>
      </c>
      <c r="B25" s="5" t="s">
        <v>470</v>
      </c>
      <c r="C25" s="5"/>
      <c r="D25" s="5"/>
      <c r="E25" s="5"/>
      <c r="F25" s="5"/>
    </row>
    <row r="26" customFormat="false" ht="21.75" hidden="false" customHeight="true" outlineLevel="0" collapsed="false">
      <c r="A26" s="22" t="s">
        <v>471</v>
      </c>
      <c r="B26" s="12" t="s">
        <v>472</v>
      </c>
      <c r="C26" s="12"/>
      <c r="D26" s="12"/>
      <c r="E26" s="12"/>
      <c r="F26" s="12"/>
    </row>
    <row r="27" customFormat="false" ht="21.75" hidden="false" customHeight="true" outlineLevel="0" collapsed="false">
      <c r="A27" s="17" t="s">
        <v>473</v>
      </c>
      <c r="B27" s="5" t="s">
        <v>474</v>
      </c>
      <c r="C27" s="5"/>
      <c r="D27" s="5"/>
      <c r="E27" s="5"/>
      <c r="F27" s="5"/>
    </row>
    <row r="28" customFormat="false" ht="21.75" hidden="false" customHeight="true" outlineLevel="0" collapsed="false">
      <c r="A28" s="22" t="s">
        <v>475</v>
      </c>
      <c r="B28" s="12" t="s">
        <v>476</v>
      </c>
      <c r="C28" s="12"/>
      <c r="D28" s="12"/>
      <c r="E28" s="12"/>
      <c r="F28" s="12"/>
    </row>
  </sheetData>
  <mergeCells count="20">
    <mergeCell ref="A1:F1"/>
    <mergeCell ref="A2:F2"/>
    <mergeCell ref="A3:F3"/>
    <mergeCell ref="A4:F4"/>
    <mergeCell ref="A5:F5"/>
    <mergeCell ref="A6:F6"/>
    <mergeCell ref="A7:F7"/>
    <mergeCell ref="A8:F8"/>
    <mergeCell ref="A17:F17"/>
    <mergeCell ref="A18:F18"/>
    <mergeCell ref="A19:F19"/>
    <mergeCell ref="A20:F20"/>
    <mergeCell ref="A21:F21"/>
    <mergeCell ref="A22:F22"/>
    <mergeCell ref="A23:F23"/>
    <mergeCell ref="A24:F24"/>
    <mergeCell ref="B25:F25"/>
    <mergeCell ref="B26:F26"/>
    <mergeCell ref="B27:F27"/>
    <mergeCell ref="B28:F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54"/>
    <col collapsed="false" customWidth="true" hidden="false" outlineLevel="0" max="4" min="4" style="0" width="22"/>
    <col collapsed="false" customWidth="true" hidden="false" outlineLevel="0" max="5" min="5" style="0" width="12"/>
  </cols>
  <sheetData>
    <row r="1" customFormat="false" ht="37.5" hidden="false" customHeight="true" outlineLevel="0" collapsed="false">
      <c r="A1" s="1" t="s">
        <v>477</v>
      </c>
      <c r="B1" s="1"/>
      <c r="C1" s="1"/>
      <c r="D1" s="1"/>
      <c r="E1" s="1"/>
    </row>
    <row r="2" customFormat="false" ht="21.75" hidden="false" customHeight="true" outlineLevel="0" collapsed="false">
      <c r="A2" s="2" t="s">
        <v>478</v>
      </c>
      <c r="B2" s="2"/>
      <c r="C2" s="2"/>
      <c r="D2" s="2"/>
      <c r="E2" s="2"/>
    </row>
    <row r="3" customFormat="false" ht="33.75" hidden="false" customHeight="true" outlineLevel="0" collapsed="false">
      <c r="A3" s="6" t="s">
        <v>479</v>
      </c>
      <c r="B3" s="6"/>
      <c r="C3" s="6"/>
      <c r="D3" s="6"/>
      <c r="E3" s="6"/>
    </row>
    <row r="4" customFormat="false" ht="33.75" hidden="false" customHeight="true" outlineLevel="0" collapsed="false">
      <c r="A4" s="6" t="s">
        <v>480</v>
      </c>
      <c r="B4" s="6"/>
      <c r="C4" s="6"/>
      <c r="D4" s="6"/>
      <c r="E4" s="6"/>
    </row>
    <row r="5" customFormat="false" ht="24" hidden="false" customHeight="true" outlineLevel="0" collapsed="false">
      <c r="A5" s="7" t="s">
        <v>481</v>
      </c>
      <c r="B5" s="7" t="s">
        <v>482</v>
      </c>
      <c r="C5" s="7" t="s">
        <v>483</v>
      </c>
      <c r="D5" s="7" t="s">
        <v>484</v>
      </c>
      <c r="E5" s="7" t="s">
        <v>485</v>
      </c>
    </row>
    <row r="6" customFormat="false" ht="18" hidden="false" customHeight="true" outlineLevel="0" collapsed="false">
      <c r="A6" s="8" t="s">
        <v>486</v>
      </c>
      <c r="B6" s="8"/>
      <c r="C6" s="8"/>
      <c r="D6" s="8"/>
      <c r="E6" s="8"/>
    </row>
    <row r="7" customFormat="false" ht="55.5" hidden="false" customHeight="true" outlineLevel="0" collapsed="false">
      <c r="A7" s="9" t="s">
        <v>487</v>
      </c>
      <c r="B7" s="5" t="s">
        <v>488</v>
      </c>
      <c r="C7" s="5" t="s">
        <v>489</v>
      </c>
      <c r="D7" s="10" t="s">
        <v>233</v>
      </c>
      <c r="E7" s="10" t="s">
        <v>490</v>
      </c>
    </row>
    <row r="8" customFormat="false" ht="55.5" hidden="false" customHeight="true" outlineLevel="0" collapsed="false">
      <c r="A8" s="11" t="s">
        <v>491</v>
      </c>
      <c r="B8" s="12" t="s">
        <v>492</v>
      </c>
      <c r="C8" s="12" t="s">
        <v>493</v>
      </c>
      <c r="D8" s="13" t="s">
        <v>55</v>
      </c>
      <c r="E8" s="13" t="s">
        <v>490</v>
      </c>
    </row>
    <row r="9" customFormat="false" ht="55.5" hidden="false" customHeight="true" outlineLevel="0" collapsed="false">
      <c r="A9" s="9" t="s">
        <v>494</v>
      </c>
      <c r="B9" s="5" t="s">
        <v>495</v>
      </c>
      <c r="C9" s="5" t="s">
        <v>496</v>
      </c>
      <c r="D9" s="10" t="s">
        <v>55</v>
      </c>
      <c r="E9" s="10" t="s">
        <v>490</v>
      </c>
    </row>
    <row r="10" customFormat="false" ht="55.5" hidden="false" customHeight="true" outlineLevel="0" collapsed="false">
      <c r="A10" s="11" t="s">
        <v>497</v>
      </c>
      <c r="B10" s="12" t="s">
        <v>498</v>
      </c>
      <c r="C10" s="12" t="s">
        <v>499</v>
      </c>
      <c r="D10" s="13" t="s">
        <v>233</v>
      </c>
      <c r="E10" s="13" t="s">
        <v>490</v>
      </c>
    </row>
    <row r="11" customFormat="false" ht="51.75" hidden="false" customHeight="true" outlineLevel="0" collapsed="false">
      <c r="A11" s="24" t="s">
        <v>500</v>
      </c>
      <c r="B11" s="24" t="s">
        <v>501</v>
      </c>
      <c r="C11" s="20" t="s">
        <v>502</v>
      </c>
      <c r="D11" s="25" t="s">
        <v>55</v>
      </c>
      <c r="E11" s="25" t="s">
        <v>490</v>
      </c>
    </row>
    <row r="12" customFormat="false" ht="18" hidden="false" customHeight="true" outlineLevel="0" collapsed="false">
      <c r="A12" s="8" t="s">
        <v>503</v>
      </c>
      <c r="B12" s="8"/>
      <c r="C12" s="8"/>
      <c r="D12" s="8"/>
      <c r="E12" s="8"/>
    </row>
    <row r="13" customFormat="false" ht="55.5" hidden="false" customHeight="true" outlineLevel="0" collapsed="false">
      <c r="A13" s="9" t="s">
        <v>504</v>
      </c>
      <c r="B13" s="5" t="s">
        <v>505</v>
      </c>
      <c r="C13" s="5" t="s">
        <v>506</v>
      </c>
      <c r="D13" s="10" t="s">
        <v>55</v>
      </c>
      <c r="E13" s="10" t="s">
        <v>490</v>
      </c>
    </row>
    <row r="14" customFormat="false" ht="55.5" hidden="false" customHeight="true" outlineLevel="0" collapsed="false">
      <c r="A14" s="11" t="s">
        <v>507</v>
      </c>
      <c r="B14" s="12" t="s">
        <v>508</v>
      </c>
      <c r="C14" s="12" t="s">
        <v>509</v>
      </c>
      <c r="D14" s="13" t="s">
        <v>55</v>
      </c>
      <c r="E14" s="13" t="s">
        <v>490</v>
      </c>
    </row>
    <row r="15" customFormat="false" ht="55.5" hidden="false" customHeight="true" outlineLevel="0" collapsed="false">
      <c r="A15" s="9" t="s">
        <v>510</v>
      </c>
      <c r="B15" s="5" t="s">
        <v>511</v>
      </c>
      <c r="C15" s="5" t="s">
        <v>512</v>
      </c>
      <c r="D15" s="10" t="s">
        <v>55</v>
      </c>
      <c r="E15" s="10" t="s">
        <v>490</v>
      </c>
    </row>
    <row r="16" customFormat="false" ht="51.75" hidden="false" customHeight="true" outlineLevel="0" collapsed="false">
      <c r="A16" s="24" t="s">
        <v>513</v>
      </c>
      <c r="B16" s="24" t="s">
        <v>501</v>
      </c>
      <c r="C16" s="20" t="s">
        <v>514</v>
      </c>
      <c r="D16" s="25" t="s">
        <v>55</v>
      </c>
      <c r="E16" s="25" t="s">
        <v>490</v>
      </c>
    </row>
    <row r="17" customFormat="false" ht="18" hidden="false" customHeight="true" outlineLevel="0" collapsed="false">
      <c r="A17" s="8" t="s">
        <v>515</v>
      </c>
      <c r="B17" s="8"/>
      <c r="C17" s="8"/>
      <c r="D17" s="8"/>
      <c r="E17" s="8"/>
    </row>
    <row r="18" customFormat="false" ht="55.5" hidden="false" customHeight="true" outlineLevel="0" collapsed="false">
      <c r="A18" s="11" t="s">
        <v>516</v>
      </c>
      <c r="B18" s="12" t="s">
        <v>517</v>
      </c>
      <c r="C18" s="12" t="s">
        <v>518</v>
      </c>
      <c r="D18" s="13" t="s">
        <v>49</v>
      </c>
      <c r="E18" s="13" t="s">
        <v>490</v>
      </c>
    </row>
    <row r="19" customFormat="false" ht="55.5" hidden="false" customHeight="true" outlineLevel="0" collapsed="false">
      <c r="A19" s="9" t="s">
        <v>519</v>
      </c>
      <c r="B19" s="5" t="s">
        <v>520</v>
      </c>
      <c r="C19" s="5" t="s">
        <v>521</v>
      </c>
      <c r="D19" s="10" t="s">
        <v>55</v>
      </c>
      <c r="E19" s="10" t="s">
        <v>490</v>
      </c>
    </row>
    <row r="20" customFormat="false" ht="55.5" hidden="false" customHeight="true" outlineLevel="0" collapsed="false">
      <c r="A20" s="11" t="s">
        <v>522</v>
      </c>
      <c r="B20" s="12" t="s">
        <v>523</v>
      </c>
      <c r="C20" s="12" t="s">
        <v>524</v>
      </c>
      <c r="D20" s="13" t="s">
        <v>233</v>
      </c>
      <c r="E20" s="13" t="s">
        <v>490</v>
      </c>
    </row>
    <row r="21" customFormat="false" ht="51.75" hidden="false" customHeight="true" outlineLevel="0" collapsed="false">
      <c r="A21" s="24" t="s">
        <v>525</v>
      </c>
      <c r="B21" s="24" t="s">
        <v>501</v>
      </c>
      <c r="C21" s="20" t="s">
        <v>526</v>
      </c>
      <c r="D21" s="25" t="s">
        <v>233</v>
      </c>
      <c r="E21" s="25" t="s">
        <v>490</v>
      </c>
    </row>
  </sheetData>
  <mergeCells count="7">
    <mergeCell ref="A1:E1"/>
    <mergeCell ref="A2:E2"/>
    <mergeCell ref="A3:E3"/>
    <mergeCell ref="A4:E4"/>
    <mergeCell ref="A6:E6"/>
    <mergeCell ref="A12:E12"/>
    <mergeCell ref="A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4" min="3" style="0" width="40"/>
    <col collapsed="false" customWidth="true" hidden="false" outlineLevel="0" max="5" min="5" style="0" width="16"/>
  </cols>
  <sheetData>
    <row r="1" customFormat="false" ht="37.5" hidden="false" customHeight="true" outlineLevel="0" collapsed="false">
      <c r="A1" s="1" t="s">
        <v>527</v>
      </c>
      <c r="B1" s="1"/>
      <c r="C1" s="1"/>
      <c r="D1" s="1"/>
      <c r="E1" s="1"/>
    </row>
    <row r="2" customFormat="false" ht="21.75" hidden="false" customHeight="true" outlineLevel="0" collapsed="false">
      <c r="A2" s="2" t="s">
        <v>528</v>
      </c>
      <c r="B2" s="2"/>
      <c r="C2" s="2"/>
      <c r="D2" s="2"/>
      <c r="E2" s="2"/>
    </row>
    <row r="3" customFormat="false" ht="24" hidden="false" customHeight="true" outlineLevel="0" collapsed="false">
      <c r="A3" s="7" t="s">
        <v>223</v>
      </c>
      <c r="B3" s="7" t="s">
        <v>224</v>
      </c>
      <c r="C3" s="7" t="s">
        <v>225</v>
      </c>
      <c r="D3" s="7" t="s">
        <v>226</v>
      </c>
      <c r="E3" s="7" t="s">
        <v>228</v>
      </c>
    </row>
    <row r="4" customFormat="false" ht="45.75" hidden="false" customHeight="true" outlineLevel="0" collapsed="false">
      <c r="A4" s="9" t="s">
        <v>229</v>
      </c>
      <c r="B4" s="5" t="s">
        <v>230</v>
      </c>
      <c r="C4" s="5" t="s">
        <v>529</v>
      </c>
      <c r="D4" s="5" t="s">
        <v>232</v>
      </c>
      <c r="E4" s="10" t="s">
        <v>234</v>
      </c>
    </row>
    <row r="5" customFormat="false" ht="45.75" hidden="false" customHeight="true" outlineLevel="0" collapsed="false">
      <c r="A5" s="11" t="s">
        <v>530</v>
      </c>
      <c r="B5" s="12" t="s">
        <v>236</v>
      </c>
      <c r="C5" s="12" t="s">
        <v>237</v>
      </c>
      <c r="D5" s="12" t="s">
        <v>531</v>
      </c>
      <c r="E5" s="13" t="s">
        <v>530</v>
      </c>
    </row>
    <row r="6" customFormat="false" ht="45.75" hidden="false" customHeight="true" outlineLevel="0" collapsed="false">
      <c r="A6" s="9" t="s">
        <v>532</v>
      </c>
      <c r="B6" s="5" t="s">
        <v>240</v>
      </c>
      <c r="C6" s="5" t="s">
        <v>241</v>
      </c>
      <c r="D6" s="5" t="s">
        <v>242</v>
      </c>
      <c r="E6" s="10" t="s">
        <v>533</v>
      </c>
    </row>
    <row r="7" customFormat="false" ht="45.75" hidden="false" customHeight="true" outlineLevel="0" collapsed="false">
      <c r="A7" s="11" t="s">
        <v>245</v>
      </c>
      <c r="B7" s="12" t="s">
        <v>246</v>
      </c>
      <c r="C7" s="12" t="s">
        <v>247</v>
      </c>
      <c r="D7" s="12" t="s">
        <v>248</v>
      </c>
      <c r="E7" s="13" t="s">
        <v>250</v>
      </c>
    </row>
    <row r="8" customFormat="false" ht="19.5" hidden="false" customHeight="true" outlineLevel="0" collapsed="false">
      <c r="A8" s="3" t="s">
        <v>534</v>
      </c>
      <c r="B8" s="3"/>
      <c r="C8" s="3"/>
      <c r="D8" s="3"/>
      <c r="E8" s="3"/>
    </row>
    <row r="9" customFormat="false" ht="33.75" hidden="false" customHeight="true" outlineLevel="0" collapsed="false">
      <c r="A9" s="5" t="s">
        <v>535</v>
      </c>
      <c r="B9" s="5"/>
      <c r="C9" s="5"/>
      <c r="D9" s="5"/>
      <c r="E9" s="5"/>
    </row>
    <row r="10" customFormat="false" ht="33.75" hidden="false" customHeight="true" outlineLevel="0" collapsed="false">
      <c r="A10" s="5" t="s">
        <v>536</v>
      </c>
      <c r="B10" s="5"/>
      <c r="C10" s="5"/>
      <c r="D10" s="5"/>
      <c r="E10" s="5"/>
    </row>
    <row r="11" customFormat="false" ht="33.75" hidden="false" customHeight="true" outlineLevel="0" collapsed="false">
      <c r="A11" s="5" t="s">
        <v>537</v>
      </c>
      <c r="B11" s="5"/>
      <c r="C11" s="5"/>
      <c r="D11" s="5"/>
      <c r="E11" s="5"/>
    </row>
    <row r="12" customFormat="false" ht="19.5" hidden="false" customHeight="true" outlineLevel="0" collapsed="false">
      <c r="A12" s="3" t="s">
        <v>538</v>
      </c>
      <c r="B12" s="3"/>
      <c r="C12" s="3"/>
      <c r="D12" s="3"/>
      <c r="E12" s="3"/>
    </row>
    <row r="13" customFormat="false" ht="24" hidden="false" customHeight="true" outlineLevel="0" collapsed="false">
      <c r="A13" s="26" t="s">
        <v>539</v>
      </c>
      <c r="B13" s="26"/>
      <c r="C13" s="26"/>
      <c r="D13" s="26"/>
      <c r="E13" s="26"/>
    </row>
    <row r="14" customFormat="false" ht="24" hidden="false" customHeight="true" outlineLevel="0" collapsed="false">
      <c r="A14" s="26" t="s">
        <v>540</v>
      </c>
      <c r="B14" s="26"/>
      <c r="C14" s="26"/>
      <c r="D14" s="26"/>
      <c r="E14" s="26"/>
    </row>
    <row r="15" customFormat="false" ht="24" hidden="false" customHeight="true" outlineLevel="0" collapsed="false">
      <c r="A15" s="26" t="s">
        <v>541</v>
      </c>
      <c r="B15" s="26"/>
      <c r="C15" s="26"/>
      <c r="D15" s="26"/>
      <c r="E15" s="26"/>
    </row>
  </sheetData>
  <mergeCells count="10">
    <mergeCell ref="A1:E1"/>
    <mergeCell ref="A2:E2"/>
    <mergeCell ref="A8:E8"/>
    <mergeCell ref="A9:E9"/>
    <mergeCell ref="A10:E10"/>
    <mergeCell ref="A11:E11"/>
    <mergeCell ref="A12:E12"/>
    <mergeCell ref="A13:E13"/>
    <mergeCell ref="A14:E14"/>
    <mergeCell ref="A15:E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2026-06-04T03:15:28Z</dcterms:created>
  <dc:creator>openpyxl</dc:creator>
  <dc:description/>
  <dc:language>en-US</dc:language>
  <cp:lastModifiedBy/>
  <dcterms:modified xsi:type="dcterms:W3CDTF">2026-06-04T03:15:28Z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