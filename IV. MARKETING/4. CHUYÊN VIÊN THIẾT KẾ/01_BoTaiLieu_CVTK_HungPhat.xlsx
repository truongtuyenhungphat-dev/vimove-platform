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ô tả công việc" sheetId="1" state="visible" r:id="rId3"/>
    <sheet name="Khung năng lực" sheetId="2" state="visible" r:id="rId4"/>
    <sheet name="Phiếu đánh giá cá nhân" sheetId="3" state="visible" r:id="rId5"/>
    <sheet name="Câu hỏi phỏng vấn" sheetId="4" state="visible" r:id="rId6"/>
    <sheet name="Score Card ứng viên" sheetId="5" state="visible" r:id="rId7"/>
    <sheet name="Kế hoạch 30-60-90 ngày" sheetId="6" state="visible" r:id="rId8"/>
    <sheet name="Lộ trình phát triể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<sst xmlns="http://schemas.openxmlformats.org/spreadsheetml/2006/main" count="742" uniqueCount="563">
  <si>
    <t xml:space="preserve">MÔ TẢ CÔNG VIỆC – CHUYÊN VIÊN THIẾT KẾ (ĐỒ HỌA &amp; SÁNG TẠO)</t>
  </si>
  <si>
    <t xml:space="preserve">CTCP Hùng Phát | Nhóm Thiết kế | Mã vị trí: CVTK | Phiên bản v1.0</t>
  </si>
  <si>
    <t xml:space="preserve">▌ I. THÔNG TIN CHUNG</t>
  </si>
  <si>
    <t xml:space="preserve">Chức danh</t>
  </si>
  <si>
    <t xml:space="preserve">Chuyên viên Thiết kế (Đồ họa &amp; Sáng tạo) (Design Specialist (Graphic &amp; Creative))</t>
  </si>
  <si>
    <t xml:space="preserve">Mã vị trí</t>
  </si>
  <si>
    <t xml:space="preserve">CVTK</t>
  </si>
  <si>
    <t xml:space="preserve">Phòng / Nhóm</t>
  </si>
  <si>
    <t xml:space="preserve">Phòng Marketing – Nhóm Thiết kế (Đồ họa &amp; Sáng tạo)</t>
  </si>
  <si>
    <t xml:space="preserve">Cấp báo cáo</t>
  </si>
  <si>
    <t xml:space="preserve">Trưởng phòng Marketing / Giám đốc Marketing</t>
  </si>
  <si>
    <t xml:space="preserve">Cấp dưới trực tiếp</t>
  </si>
  <si>
    <t xml:space="preserve">Nhân viên Thiết kế (Graphic Designer)</t>
  </si>
  <si>
    <t xml:space="preserve">Tính chất vị trí</t>
  </si>
  <si>
    <t xml:space="preserve">Quản lý nhóm + TRỰC TIẾP thiết kế: vừa art-direct &amp; dẫn dắt vừa thực thi thiết kế</t>
  </si>
  <si>
    <t xml:space="preserve">Phạm vi thiết kế</t>
  </si>
  <si>
    <t xml:space="preserve">KV/concept · Social &amp; Ads creative · Packaging artwork · Sàn TMĐT/Web · Nhận diện thương hiệu</t>
  </si>
  <si>
    <t xml:space="preserve">Quan hệ trong Marketing</t>
  </si>
  <si>
    <t xml:space="preserve">Content cung cấp nội dung – Media phân phối/quảng cáo – Thiết kế tạo hình ảnh &amp; nhận diện</t>
  </si>
  <si>
    <t xml:space="preserve">Địa điểm / Ca</t>
  </si>
  <si>
    <t xml:space="preserve">Văn phòng HP; làm việc tại studio/máy thiết kế, phối hợp chụp sản phẩm khi cần | Giờ hành chính; linh hoạt theo lịch chiến dịch &amp; ra mắt sản phẩm</t>
  </si>
  <si>
    <t xml:space="preserve">Ngày hiệu lực / JD</t>
  </si>
  <si>
    <t xml:space="preserve">___/___/______ | v1.0</t>
  </si>
  <si>
    <t xml:space="preserve">▌ II. MỤC ĐÍCH VỊ TRÍ</t>
  </si>
  <si>
    <t xml:space="preserve">Chuyên viên Thiết kế chịu trách nhiệm về chất lượng &amp; nhất quán hình ảnh – nhận diện thương hiệu của HP trên mọi điểm chạm (KV chiến dịch, social/ads creative, packaging artwork, gian hàng sàn TMĐT/web, ấn phẩm). Vị trí vừa quản lý &amp; định hướng nghệ thuật (art direction) cho nhóm thiết kế, vừa TRỰC TIẾP thực thi các thiết kế quan trọng. Đồng thời xây &amp; giữ hệ thống nhận diện (brand guidelines, template, design system), chuẩn hóa quy trình brief→duyệt→bàn giao, và huấn luyện nhóm. Ưu tiên cốt lõi: THIẾT KẾ ĐẸP – ĐÚNG BRAND – ĐÚNG TIẾN ĐỘ – HIỆU QUẢ (hỗ trợ truyền thông &amp; chuyển đổi), và phát triển đội ngũ thiết kế giỏi &amp; nhất quán.</t>
  </si>
  <si>
    <t xml:space="preserve">▌ III. TRÁCH NHIỆM CHÍNH &amp; KPI</t>
  </si>
  <si>
    <t xml:space="preserve">#</t>
  </si>
  <si>
    <t xml:space="preserve">TRÁCH NHIỆM / NHIỆM VỤ</t>
  </si>
  <si>
    <t xml:space="preserve">KPI / TIÊU CHUẨN</t>
  </si>
  <si>
    <t xml:space="preserve">TẦN SUẤT</t>
  </si>
  <si>
    <t xml:space="preserve">MỨC TỐI THIỂU</t>
  </si>
  <si>
    <t xml:space="preserve">PHỐI HỢP</t>
  </si>
  <si>
    <t xml:space="preserve">NHÓM 1 – TƯ DUY THIẾT KẾ, CONCEPT &amp; ART DIRECTION</t>
  </si>
  <si>
    <t xml:space="preserve">1.1</t>
  </si>
  <si>
    <t xml:space="preserve">Phát triển concept/ý tưởng thị giác &amp; key visual cho chiến dịch theo brief &amp; brand</t>
  </si>
  <si>
    <t xml:space="preserve">Concept/KV được duyệt; gắn brief &amp; insight; đúng brand</t>
  </si>
  <si>
    <t xml:space="preserve">Theo chiến dịch</t>
  </si>
  <si>
    <t xml:space="preserve">Concept/KV được duyệt</t>
  </si>
  <si>
    <t xml:space="preserve">TP/GĐ MKT · Content</t>
  </si>
  <si>
    <t xml:space="preserve">1.2</t>
  </si>
  <si>
    <t xml:space="preserve">Định hướng nghệ thuật (art direction) cho nhóm &amp; các sản phẩm thiết kế đa định dạng</t>
  </si>
  <si>
    <t xml:space="preserve">Hướng thiết kế nhất quán &amp; rõ ràng cho nhóm; 0 lệch concept</t>
  </si>
  <si>
    <t xml:space="preserve">Art direction nhất quán</t>
  </si>
  <si>
    <t xml:space="preserve">Nhóm · Content</t>
  </si>
  <si>
    <t xml:space="preserve">1.3</t>
  </si>
  <si>
    <t xml:space="preserve">Đề xuất giải pháp thị giác nâng tầm thương hiệu &amp; khác biệt so với đối thủ</t>
  </si>
  <si>
    <t xml:space="preserve">≥ 1 đề xuất nâng cấp nhận diện/thị giác/quý được ghi nhận</t>
  </si>
  <si>
    <t xml:space="preserve">Hàng quý</t>
  </si>
  <si>
    <t xml:space="preserve">Đề xuất ≥ KH</t>
  </si>
  <si>
    <t xml:space="preserve">TP/GĐ MKT</t>
  </si>
  <si>
    <t xml:space="preserve">NHÓM 2 – THỰC THI THIẾT KẾ ĐA ĐỊNH DẠNG (Trực tiếp, hands-on)</t>
  </si>
  <si>
    <t xml:space="preserve">2.1</t>
  </si>
  <si>
    <t xml:space="preserve">Trực tiếp thiết kế các sản phẩm quan trọng: KV, poster, social post, banner, ads creative đạt chuẩn</t>
  </si>
  <si>
    <t xml:space="preserve">Sản phẩm đạt brief &amp; brand, chất lượng cao; đúng deadline</t>
  </si>
  <si>
    <t xml:space="preserve">Hàng tuần</t>
  </si>
  <si>
    <t xml:space="preserve">Đạt brief &amp; deadline</t>
  </si>
  <si>
    <t xml:space="preserve">Content · Media</t>
  </si>
  <si>
    <t xml:space="preserve">2.2</t>
  </si>
  <si>
    <t xml:space="preserve">Thiết kế packaging artwork, ấn phẩm sản phẩm vali-balo &amp; vật phẩm thương hiệu khi cần</t>
  </si>
  <si>
    <t xml:space="preserve">Artwork đạt chuẩn in ấn/sản xuất; 0 lỗi kỹ thuật (bleed/màu/format)</t>
  </si>
  <si>
    <t xml:space="preserve">Theo dự án</t>
  </si>
  <si>
    <t xml:space="preserve">0 lỗi kỹ thuật in ấn</t>
  </si>
  <si>
    <t xml:space="preserve">Sản phẩm · Mua hàng</t>
  </si>
  <si>
    <t xml:space="preserve">2.3</t>
  </si>
  <si>
    <t xml:space="preserve">Thiết kế cho gian hàng sàn TMĐT/website (banner, thumbnail, hình sản phẩm) đúng chuẩn kênh</t>
  </si>
  <si>
    <t xml:space="preserve">Thiết kế đúng chuẩn từng kênh/sàn; hỗ trợ chuyển đổi</t>
  </si>
  <si>
    <t xml:space="preserve">Đúng chuẩn kênh</t>
  </si>
  <si>
    <t xml:space="preserve">Media · Vận hành TMĐT</t>
  </si>
  <si>
    <t xml:space="preserve">NHÓM 3 – QUẢN TRỊ NHẬN DIỆN THƯƠNG HIỆU &amp; HỆ THỐNG THIẾT KẾ</t>
  </si>
  <si>
    <t xml:space="preserve">3.1</t>
  </si>
  <si>
    <t xml:space="preserve">Xây &amp; cập nhật brand guidelines (logo, màu, font, layout, tông hình ảnh); đảm bảo tuân thủ</t>
  </si>
  <si>
    <t xml:space="preserve">Guidelines cập nhật; 100% sản phẩm đạt nhận diện; 0 vi phạm brand</t>
  </si>
  <si>
    <t xml:space="preserve">100% đúng nhận diện</t>
  </si>
  <si>
    <t xml:space="preserve">TP/GĐ MKT · Nhóm</t>
  </si>
  <si>
    <t xml:space="preserve">3.2</t>
  </si>
  <si>
    <t xml:space="preserve">Xây hệ thống template/design system &amp; thư viện tài sản (KV, icon, layout) dùng chung cho nhóm</t>
  </si>
  <si>
    <t xml:space="preserve">Có design system &amp; thư viện dùng chung; tăng tốc &amp; đồng đều thiết kế</t>
  </si>
  <si>
    <t xml:space="preserve">Design system chuẩn</t>
  </si>
  <si>
    <t xml:space="preserve">Nhóm · Content · Media</t>
  </si>
  <si>
    <t xml:space="preserve">3.3</t>
  </si>
  <si>
    <t xml:space="preserve">Kiểm soát chất lượng &amp; nhất quán nhận diện trên mọi điểm chạm trước khi xuất bản</t>
  </si>
  <si>
    <t xml:space="preserve">0 sản phẩm lệch nhận diện ra ngoài; review trước bàn giao</t>
  </si>
  <si>
    <t xml:space="preserve">0 lệch nhận diện</t>
  </si>
  <si>
    <t xml:space="preserve">Nhóm · TP/GĐ MKT</t>
  </si>
  <si>
    <t xml:space="preserve">NHÓM 4 – LÃNH ĐẠO &amp; PHÁT TRIỂN NHÓM THIẾT KẾ</t>
  </si>
  <si>
    <t xml:space="preserve">4.1</t>
  </si>
  <si>
    <t xml:space="preserve">Giao việc, đặt KPI &amp; quản tiến độ nhóm thiết kế; review &amp; feedback nâng chất lượng (art direction)</t>
  </si>
  <si>
    <t xml:space="preserve">100% NV có KPI &amp; nhịp review; 0 trễ deadline lớn do quản lý</t>
  </si>
  <si>
    <t xml:space="preserve">0 trễ lớn do quản lý</t>
  </si>
  <si>
    <t xml:space="preserve">4.2</t>
  </si>
  <si>
    <t xml:space="preserve">Phát triển năng lực nhóm: tay nghề thiết kế + công cụ + tư duy thương hiệu; lập IDP &amp; coaching</t>
  </si>
  <si>
    <t xml:space="preserve">100% NV có IDP; nâng tay nghề &amp; gu thẩm mỹ đo được</t>
  </si>
  <si>
    <t xml:space="preserve">Hàng tháng</t>
  </si>
  <si>
    <t xml:space="preserve">IDP 100% nhóm</t>
  </si>
  <si>
    <t xml:space="preserve">GĐHR · TP/GĐ MKT</t>
  </si>
  <si>
    <t xml:space="preserve">4.3</t>
  </si>
  <si>
    <t xml:space="preserve">Xây văn hóa sáng tạo, kỷ luật deadline &amp; học công cụ mới (gồm AI design); giữ người giỏi</t>
  </si>
  <si>
    <t xml:space="preserve">eNPS nhóm ≥ 35; turnover ≤ ngưỡng; nhóm chủ động cập nhật công cụ</t>
  </si>
  <si>
    <t xml:space="preserve">eNPS ≥ 35</t>
  </si>
  <si>
    <t xml:space="preserve">GĐHR</t>
  </si>
  <si>
    <t xml:space="preserve">NHÓM 5 – QUẢN TRỊ QUY TRÌNH, TIẾN ĐỘ &amp; CHẤT LƯỢNG</t>
  </si>
  <si>
    <t xml:space="preserve">5.1</t>
  </si>
  <si>
    <t xml:space="preserve">Chuẩn hóa &amp; vận hành quy trình thiết kế (brief→thiết kế→duyệt→chỉnh→bàn giao); quản nhiều yêu cầu song song</t>
  </si>
  <si>
    <t xml:space="preserve">Quy trình rõ; 0 yêu cầu 'mất dấu'; ưu tiên hợp lý; 0 trễ chiến dịch lớn</t>
  </si>
  <si>
    <t xml:space="preserve">0 yêu cầu mất dấu</t>
  </si>
  <si>
    <t xml:space="preserve">Content · Media · Sản phẩm</t>
  </si>
  <si>
    <t xml:space="preserve">5.2</t>
  </si>
  <si>
    <t xml:space="preserve">Kiểm soát chất lượng kỹ thuật (màu, kích thước, định dạng, độ phân giải, file bàn giao chuẩn)</t>
  </si>
  <si>
    <t xml:space="preserve">0 lỗi kỹ thuật ra ngoài; file bàn giao đúng chuẩn từng kênh/in ấn</t>
  </si>
  <si>
    <t xml:space="preserve">0 lỗi kỹ thuật</t>
  </si>
  <si>
    <t xml:space="preserve">Nhóm · Mua hàng/in ấn</t>
  </si>
  <si>
    <t xml:space="preserve">NHÓM 6 – PHỐI HỢP, TÀI SẢN SỐ, BẢN QUYỀN &amp; RỦI RO</t>
  </si>
  <si>
    <t xml:space="preserve">6.1</t>
  </si>
  <si>
    <t xml:space="preserve">Phối hợp Content/Media/Sản phẩm/sàn TMĐT để thiết kế phục vụ mục tiêu; ứng dụng công cụ/AI hỗ trợ</t>
  </si>
  <si>
    <t xml:space="preserve">0 chiến dịch trễ vì phối hợp; ứng dụng công cụ/AI tăng năng suất</t>
  </si>
  <si>
    <t xml:space="preserve">0 trễ vì phối hợp</t>
  </si>
  <si>
    <t xml:space="preserve">6.2</t>
  </si>
  <si>
    <t xml:space="preserve">Quản trị &amp; lưu trữ tài sản số (file gốc, template, font, hình); tuân thủ bản quyền (font/ảnh/AI)</t>
  </si>
  <si>
    <t xml:space="preserve">Tài sản số lưu trữ chuẩn &amp; truy xuất được; 0 vi phạm bản quyền</t>
  </si>
  <si>
    <t xml:space="preserve">0 vi phạm bản quyền</t>
  </si>
  <si>
    <t xml:space="preserve">TP/GĐ MKT · Pháp chế</t>
  </si>
  <si>
    <t xml:space="preserve">6.3</t>
  </si>
  <si>
    <t xml:space="preserve">Quản trị rủi ro: phụ thuộc 1 người, mất file gốc, lệch nhận diện, lỗi in ấn/sản xuất</t>
  </si>
  <si>
    <t xml:space="preserve">Risk review ≥ 1 lần/quý; backup file gốc; 0 lỗi in ấn lớn</t>
  </si>
  <si>
    <t xml:space="preserve">Risk review/quý</t>
  </si>
  <si>
    <t xml:space="preserve">TP/GĐ MKT · IT</t>
  </si>
  <si>
    <t xml:space="preserve">▌ IV. CHỈ TIÊU KPI SỐNG CÒN – CV Thiết kế</t>
  </si>
  <si>
    <t xml:space="preserve">CHỈ TIÊU KPI</t>
  </si>
  <si>
    <t xml:space="preserve">TRỌNG SỐ</t>
  </si>
  <si>
    <t xml:space="preserve">TIÊU CHUẨN ĐẠT</t>
  </si>
  <si>
    <t xml:space="preserve">TIÊU CHUẨN XUẤT SẮC</t>
  </si>
  <si>
    <t xml:space="preserve">NGUỒN DỮ LIỆU</t>
  </si>
  <si>
    <t xml:space="preserve">1</t>
  </si>
  <si>
    <t xml:space="preserve">Chất lượng &amp; thẩm mỹ thiết kế (đạt brief &amp; brand)</t>
  </si>
  <si>
    <t xml:space="preserve">22%</t>
  </si>
  <si>
    <t xml:space="preserve">Sản phẩm đạt brief &amp; brand · chất lượng cao</t>
  </si>
  <si>
    <t xml:space="preserve">Thiết kế nổi bật · nâng tầm thương hiệu</t>
  </si>
  <si>
    <t xml:space="preserve">Duyệt / đánh giá</t>
  </si>
  <si>
    <t xml:space="preserve">2</t>
  </si>
  <si>
    <t xml:space="preserve">Tiến độ &amp; năng suất</t>
  </si>
  <si>
    <t xml:space="preserve">18%</t>
  </si>
  <si>
    <t xml:space="preserve">Đúng deadline · sản lượng ≥ KH · 0 trễ lớn</t>
  </si>
  <si>
    <t xml:space="preserve">Vượt năng suất giữ chất lượng</t>
  </si>
  <si>
    <t xml:space="preserve">Lịch thiết kế</t>
  </si>
  <si>
    <t xml:space="preserve">3</t>
  </si>
  <si>
    <t xml:space="preserve">Nhất quán nhận diện thương hiệu</t>
  </si>
  <si>
    <t xml:space="preserve">15%</t>
  </si>
  <si>
    <t xml:space="preserve">100% đúng brand guidelines · 0 lệch nhận diện</t>
  </si>
  <si>
    <t xml:space="preserve">Nâng tầm &amp; hệ thống hóa nhận diện</t>
  </si>
  <si>
    <t xml:space="preserve">Kiểm duyệt brand</t>
  </si>
  <si>
    <t xml:space="preserve">4</t>
  </si>
  <si>
    <t xml:space="preserve">Hiệu quả thiết kế (hỗ trợ truyền thông/chuyển đổi)</t>
  </si>
  <si>
    <t xml:space="preserve">13%</t>
  </si>
  <si>
    <t xml:space="preserve">Thiết kế hỗ trợ hiệu quả chiến dịch ≥ KH</t>
  </si>
  <si>
    <t xml:space="preserve">Creative góp phần hiệu quả nổi bật</t>
  </si>
  <si>
    <t xml:space="preserve">Analytics/Media</t>
  </si>
  <si>
    <t xml:space="preserve">5</t>
  </si>
  <si>
    <t xml:space="preserve">Phát triển &amp; hiệu suất nhóm</t>
  </si>
  <si>
    <t xml:space="preserve">20%</t>
  </si>
  <si>
    <t xml:space="preserve">100% có IDP · KPI nhóm đạt · eNPS ≥ 35</t>
  </si>
  <si>
    <t xml:space="preserve">Nhóm giỏi &amp; đồng đều · ≥ 1 kế thừa</t>
  </si>
  <si>
    <t xml:space="preserve">Đánh giá HR</t>
  </si>
  <si>
    <t xml:space="preserve">6</t>
  </si>
  <si>
    <t xml:space="preserve">Quy trình, Bản quyền &amp; Quản trị tài sản</t>
  </si>
  <si>
    <t xml:space="preserve">12%</t>
  </si>
  <si>
    <t xml:space="preserve">0 lỗi kỹ thuật/bản quyền · file bàn giao chuẩn</t>
  </si>
  <si>
    <t xml:space="preserve">Quy trình &amp; tài sản quản trị bài bản</t>
  </si>
  <si>
    <t xml:space="preserve">Pháp chế / nội bộ</t>
  </si>
  <si>
    <t xml:space="preserve">▌ V. YÊU CẦU CÔNG VIỆC</t>
  </si>
  <si>
    <t xml:space="preserve">NĂNG LỰC &amp; KỸ NĂNG CẦN CÓ</t>
  </si>
  <si>
    <t xml:space="preserve">KINH NGHIỆM &amp; HỌC VẤN</t>
  </si>
  <si>
    <t xml:space="preserve">✅  Thành thạo phần mềm thiết kế (Photoshop, Illustrator, InDesign; Figma/Canva)</t>
  </si>
  <si>
    <t xml:space="preserve">⏱  Tối thiểu 3–4 năm thiết kế đồ họa; ≥ 1 năm dẫn dắt nhóm hoặc dự án</t>
  </si>
  <si>
    <t xml:space="preserve">✅  Tư duy thiết kế &amp; gu thẩm mỹ mạnh; biết phát triển concept &amp; art direction</t>
  </si>
  <si>
    <t xml:space="preserve">🎓  Đại học/Cao đẳng: Thiết kế đồ họa/Mỹ thuật/Truyền thông hoặc tương đương</t>
  </si>
  <si>
    <t xml:space="preserve">✅  Hiểu nhận diện thương hiệu &amp; xây design system/brand guidelines</t>
  </si>
  <si>
    <t xml:space="preserve">🖼️  Portfolio đa định dạng (KV/social/ads/packaging/sàn) thể hiện gu &amp; tay nghề</t>
  </si>
  <si>
    <t xml:space="preserve">✅  Thiết kế đa định dạng: KV, social, ads, packaging, sàn TMĐT/web, ấn phẩm</t>
  </si>
  <si>
    <t xml:space="preserve">🖨️  Nắm kỹ thuật in ấn (CMYK, bleed, độ phân giải) &amp; chuẩn file từng kênh</t>
  </si>
  <si>
    <t xml:space="preserve">✅  Quản lý nhóm: giao việc, art-direct, review, coaching, phát triển designer</t>
  </si>
  <si>
    <t xml:space="preserve">🤖  Biết ứng dụng công cụ AI thiết kế (Midjourney/Firefly...) là lợi thế</t>
  </si>
  <si>
    <t xml:space="preserve">✅  Quản trị quy trình, tiến độ nhiều dự án &amp; chất lượng kỹ thuật</t>
  </si>
  <si>
    <t xml:space="preserve">🗣️  Giao tiếp &amp; phối hợp liên phòng (Content/Media/Sản phẩm/sàn)</t>
  </si>
  <si>
    <t xml:space="preserve">✅  Quản trị tài sản số &amp; tuân thủ bản quyền (font/ảnh/AI)</t>
  </si>
  <si>
    <t xml:space="preserve">⚡  Sáng tạo, gu tốt, kỷ luật deadline, hands-on (tự làm được)</t>
  </si>
  <si>
    <t xml:space="preserve">▌ VI. NĂNG LỰC CẦN CÓ (Theo Khung Năng Lực Hùng Phát)</t>
  </si>
  <si>
    <t xml:space="preserve">Mức cấp tối thiểu khi nhận vị trí: Cấp 3 cho cả 6 nhóm | BẮT BUỘC: tự thiết kế tốt (N2) + art direction &amp; gu thương hiệu (N1) — không chỉ quản lý</t>
  </si>
  <si>
    <t xml:space="preserve">NHÓM NL</t>
  </si>
  <si>
    <t xml:space="preserve">TÊN NHÓM NĂNG LỰC</t>
  </si>
  <si>
    <t xml:space="preserve">CẤP TỐI THIỂU</t>
  </si>
  <si>
    <t xml:space="preserve">MÔ TẢ CẤP 3 – ĐẠT YÊU CẦU ✅</t>
  </si>
  <si>
    <t xml:space="preserve">CẤP MỤC TIÊU SAU 1 NĂM</t>
  </si>
  <si>
    <t xml:space="preserve">N1</t>
  </si>
  <si>
    <t xml:space="preserve">Tư duy Thiết kế, Concept &amp; Art Direction</t>
  </si>
  <si>
    <t xml:space="preserve">Cấp 3</t>
  </si>
  <si>
    <t xml:space="preserve">Phát triển concept/KV theo brief &amp; brand; định hướng nghệ thuật nhất quán cho nhóm &amp; sản phẩm.</t>
  </si>
  <si>
    <t xml:space="preserve">Cấp 4</t>
  </si>
  <si>
    <t xml:space="preserve">N2</t>
  </si>
  <si>
    <t xml:space="preserve">Thực thi Thiết kế đa định dạng (hands-on)</t>
  </si>
  <si>
    <t xml:space="preserve">25%</t>
  </si>
  <si>
    <t xml:space="preserve">Trực tiếp thiết kế KV/social/ads/packaging/sàn đạt brief, brand &amp; chất lượng cao, đúng deadline.</t>
  </si>
  <si>
    <t xml:space="preserve">N3</t>
  </si>
  <si>
    <t xml:space="preserve">Quản trị Nhận diện &amp; Hệ thống Thiết kế</t>
  </si>
  <si>
    <t xml:space="preserve">Xây &amp; giữ brand guidelines, design system/template &amp; thư viện tài sản; kiểm soát nhất quán nhận diện.</t>
  </si>
  <si>
    <t xml:space="preserve">N4</t>
  </si>
  <si>
    <t xml:space="preserve">Lãnh đạo &amp; Phát triển Nhóm Thiết kế</t>
  </si>
  <si>
    <t xml:space="preserve">Giao việc &amp; KPI, art-direct &amp; review, IDP &amp; coaching nâng tay nghề-gu-công cụ; giữ người giỏi.</t>
  </si>
  <si>
    <t xml:space="preserve">N5</t>
  </si>
  <si>
    <t xml:space="preserve">Quản trị Quy trình, Tiến độ &amp; Chất lượng</t>
  </si>
  <si>
    <t xml:space="preserve">Chuẩn hóa quy trình brief→duyệt→bàn giao, quản nhiều dự án song song; kiểm soát chất lượng kỹ thuật.</t>
  </si>
  <si>
    <t xml:space="preserve">N6</t>
  </si>
  <si>
    <t xml:space="preserve">Tư duy &amp; Thái độ (Sáng tạo, Xu hướng/Công cụ, Kỷ luật)</t>
  </si>
  <si>
    <t xml:space="preserve">8%</t>
  </si>
  <si>
    <t xml:space="preserve">Sáng tạo &amp; cập nhật xu hướng/công cụ (gồm AI design); kỷ luật deadline; tuân thủ brand &amp; bản quyền.</t>
  </si>
  <si>
    <t xml:space="preserve">▌ VII. QUYỀN HẠN &amp; GIỚI HẠN THẨM QUYỀN</t>
  </si>
  <si>
    <t xml:space="preserve">Cột XANH ✅ = tự quyết, chịu trách nhiệm toàn bộ kết quả.   Cột CAM ⚠️ = PHẢI BÁO CÁO hoặc XIN PHÊ DUYỆT trước khi hành động — vi phạm = vi phạm kỷ luật.</t>
  </si>
  <si>
    <t xml:space="preserve">✅  ĐƯỢC PHÉP TỰ QUYẾT ĐỊNH</t>
  </si>
  <si>
    <t xml:space="preserve">⚠️  PHẢI BÁO CÁO / XIN PHÊ DUYỆT TRƯỚC</t>
  </si>
  <si>
    <t xml:space="preserve">THẨM QUYỀN PHÊ DUYỆT</t>
  </si>
  <si>
    <t xml:space="preserve">THIẾT KẾ, CONCEPT &amp; ART DIRECTION</t>
  </si>
  <si>
    <t xml:space="preserve">✅  Quyết định hướng thị giác/concept &amp; cách thể hiện trong brief &amp; brand đã duyệt</t>
  </si>
  <si>
    <t xml:space="preserve">⚠️  KV/concept chiến dịch lớn; thay đổi định hướng nhận diện thương hiệu</t>
  </si>
  <si>
    <t xml:space="preserve">TP/GĐ Marketing</t>
  </si>
  <si>
    <t xml:space="preserve">✅  Duyệt thiết kế của nhóm (art direction) trước khi bàn giao trong phạm vi được giao</t>
  </si>
  <si>
    <t xml:space="preserve">⚠️  Thay đổi logo/hệ thống nhận diện cấp công ty; thiết kế nhạy cảm/PR lớn</t>
  </si>
  <si>
    <t xml:space="preserve">NHẬN DIỆN, CÔNG CỤ &amp; TÀI SẢN</t>
  </si>
  <si>
    <t xml:space="preserve">✅  Xây &amp; cập nhật brand guidelines/design system &amp; thư viện template trong định hướng đã duyệt</t>
  </si>
  <si>
    <t xml:space="preserve">⚠️  Mua font/ảnh/công cụ thiết kế trả phí; ngân sách công cụ/AI</t>
  </si>
  <si>
    <t xml:space="preserve">✅  Quản trị &amp; lưu trữ tài sản số (file gốc, template, font) của nhóm</t>
  </si>
  <si>
    <t xml:space="preserve">⚠️  Dùng tài sản/font/ảnh/AI có rủi ro bản quyền; xóa tài sản gốc quan trọng</t>
  </si>
  <si>
    <t xml:space="preserve">TP/GĐ MKT + Pháp chế</t>
  </si>
  <si>
    <t xml:space="preserve">NHÂN SỰ &amp; TIẾN ĐỘ</t>
  </si>
  <si>
    <t xml:space="preserve">✅  Phân công, đánh giá &amp; coaching nhóm thiết kế; điều phối tiến độ dự án</t>
  </si>
  <si>
    <t xml:space="preserve">⚠️  Tuyển/cho nghỉ NV; kỷ luật từ cảnh cáo; thay đổi headcount</t>
  </si>
  <si>
    <t xml:space="preserve">TP/GĐ MKT + GĐHR</t>
  </si>
  <si>
    <t xml:space="preserve">✅  Điều chỉnh ưu tiên thiết kế trong tuần để kịp chiến dịch</t>
  </si>
  <si>
    <t xml:space="preserve">⚠️  Dời/hủy deliverable thiết kế đã cam kết với TP/GĐ hoặc bộ phận khác</t>
  </si>
  <si>
    <t xml:space="preserve">▌ VIII. LỘ TRÌNH PHÁT TRIỂN</t>
  </si>
  <si>
    <t xml:space="preserve">GIAI ĐOẠN</t>
  </si>
  <si>
    <t xml:space="preserve">VỊ TRÍ TIẾP THEO</t>
  </si>
  <si>
    <t xml:space="preserve">ĐIỀU KIỆN THĂNG TIẾN</t>
  </si>
  <si>
    <t xml:space="preserve">KPI CHỨNG MINH</t>
  </si>
  <si>
    <t xml:space="preserve">NGƯỜI PHÊ DUYỆT</t>
  </si>
  <si>
    <t xml:space="preserve">THỜI GIAN</t>
  </si>
  <si>
    <t xml:space="preserve">Hiện tại</t>
  </si>
  <si>
    <t xml:space="preserve">Chuyên viên Thiết kế (Đồ họa &amp; Sáng tạo)</t>
  </si>
  <si>
    <t xml:space="preserve">Đang đảm nhận vị trí</t>
  </si>
  <si>
    <t xml:space="preserve">Thiết kế đạt brand &amp; chất lượng ≥ KH; nhận diện nhất quán; 100% nhóm có IDP; 0 vi phạm bản quyền</t>
  </si>
  <si>
    <t xml:space="preserve">Đang triển khai</t>
  </si>
  <si>
    <t xml:space="preserve">12–24 tháng</t>
  </si>
  <si>
    <t xml:space="preserve">Trưởng nhóm Thiết kế / Senior Designer dẫn dắt</t>
  </si>
  <si>
    <t xml:space="preserve">Chất lượng &amp; năng suất ≥ 110% KH 2 năm; design system vận hành; nhóm có kế thừa</t>
  </si>
  <si>
    <t xml:space="preserve">Hiệu quả/chất lượng tăng; eNPS ≥ 40</t>
  </si>
  <si>
    <t xml:space="preserve">18–24 tháng</t>
  </si>
  <si>
    <t xml:space="preserve">24–36 tháng</t>
  </si>
  <si>
    <t xml:space="preserve">Art Director / Phụ trách Thiết kế</t>
  </si>
  <si>
    <t xml:space="preserve">Định hướng nghệ thuật cấp thương hiệu; dẫn dắt mảng thiết kế; tổ chức vững</t>
  </si>
  <si>
    <t xml:space="preserve">Nhận diện &amp; creative dẫn dắt; succession đủ</t>
  </si>
  <si>
    <t xml:space="preserve">GĐ MKT</t>
  </si>
  <si>
    <t xml:space="preserve">2–3 năm</t>
  </si>
  <si>
    <t xml:space="preserve">36 tháng+</t>
  </si>
  <si>
    <t xml:space="preserve">Creative Lead / Trưởng phòng Sáng tạo</t>
  </si>
  <si>
    <t xml:space="preserve">Quản trị sáng tạo cấp công ty; chiến lược thương hiệu &amp; thị giác</t>
  </si>
  <si>
    <t xml:space="preserve">Năng lực quản trị tổng thể; kết quả khối</t>
  </si>
  <si>
    <t xml:space="preserve">GĐĐH</t>
  </si>
  <si>
    <t xml:space="preserve">3+ năm</t>
  </si>
  <si>
    <t xml:space="preserve">▌ IX. XÁC NHẬN &amp; HIỆU LỰC</t>
  </si>
  <si>
    <t xml:space="preserve">Tài liệu nội bộ – CTCP Hùng Phát  |  Không phổ biến ra ngoài  |  Lưu trữ tại HR &amp; CV Thiết kế</t>
  </si>
  <si>
    <t xml:space="preserve">NGƯỜI ĐƯỢC BỔ NHIỆM (Đọc, hiểu &amp; cam kết)</t>
  </si>
  <si>
    <t xml:space="preserve">GĐHR XÁC NHẬN (Đúng khung NL &amp; quy trình)</t>
  </si>
  <si>
    <t xml:space="preserve">TP / GĐ Marketing PHÊ DUYỆT (Ký &amp; đóng dấu)</t>
  </si>
  <si>
    <t xml:space="preserve">Họ tên: ____________________
Chức danh: Chuyên viên Thiết kế (Đồ họa &amp; Sáng tạo)
Ngày ký: ___/___/______</t>
  </si>
  <si>
    <t xml:space="preserve">Họ tên: ____________________
Chức danh: Giám đốc HR
Ngày ký: ___/___/______</t>
  </si>
  <si>
    <t xml:space="preserve">Họ tên: ____________________
Chức danh: TP / GĐ Marketing
Ngày ký: ___/___/______</t>
  </si>
  <si>
    <t xml:space="preserve">Ngày hiệu lực của JD này: ___/___/______    |    Kỳ review tiếp theo: ___/___/______    |    Người lưu trữ: GĐHR</t>
  </si>
  <si>
    <t xml:space="preserve">KHUNG NĂNG LỰC – CHUYÊN VIÊN THIẾT KẾ (ĐỒ HỌA &amp; SÁNG TẠO)</t>
  </si>
  <si>
    <t xml:space="preserve">CTCP Hùng Phát | 6 Nhóm NL | Trọng số theo vị trí | Thang 4 cấp</t>
  </si>
  <si>
    <t xml:space="preserve">▌ THANG 4 CẤP &amp; TRỌNG SỐ</t>
  </si>
  <si>
    <t xml:space="preserve">NHÓM NĂNG LỰC</t>
  </si>
  <si>
    <t xml:space="preserve">MỤC TIÊU 6 THÁNG</t>
  </si>
  <si>
    <t xml:space="preserve">MỤC TIÊU 1 NĂM</t>
  </si>
  <si>
    <t xml:space="preserve">Cấp 3-4</t>
  </si>
  <si>
    <t xml:space="preserve">TỔNG</t>
  </si>
  <si>
    <t xml:space="preserve">100%</t>
  </si>
  <si>
    <t xml:space="preserve">Điểm ≥ 3.0 để đạt</t>
  </si>
  <si>
    <t xml:space="preserve">Điểm ≥ 3.3 sau 6T</t>
  </si>
  <si>
    <t xml:space="preserve">Điểm ≥ 3.5 sau 1 năm</t>
  </si>
  <si>
    <t xml:space="preserve">▌ MÔ TẢ HÀNH VI 4 CẤP THEO NHÓM NĂNG LỰC</t>
  </si>
  <si>
    <t xml:space="preserve">TIÊU CHÍ</t>
  </si>
  <si>
    <t xml:space="preserve">CẤP 1 – Cần phát triển ❌</t>
  </si>
  <si>
    <t xml:space="preserve">CẤP 2 – Đang phát triển ⚠️</t>
  </si>
  <si>
    <t xml:space="preserve">CẤP 3 – Đạt yêu cầu ✅</t>
  </si>
  <si>
    <t xml:space="preserve">CẤP 4 – Xuất sắc ⭐</t>
  </si>
  <si>
    <t xml:space="preserve">NHÓM N1 – TƯ DUY THIẾT KẾ, CONCEPT &amp; ART DIRECTION (20%)</t>
  </si>
  <si>
    <t xml:space="preserve">Phát triển concept/KV</t>
  </si>
  <si>
    <t xml:space="preserve">Thiết kế thiếu ý tưởng; không có concept; rời rạc.</t>
  </si>
  <si>
    <t xml:space="preserve">Có ý tưởng nhưng chưa gắn brief/insight; concept yếu.</t>
  </si>
  <si>
    <t xml:space="preserve">Phát triển concept/KV gắn brief &amp; brand; được duyệt.</t>
  </si>
  <si>
    <t xml:space="preserve">Concept sắc bén tạo dấu ấn thương hiệu &amp; cảm xúc.</t>
  </si>
  <si>
    <t xml:space="preserve">Art direction cho nhóm</t>
  </si>
  <si>
    <t xml:space="preserve">Mỗi sản phẩm một kiểu; thiếu định hướng; lệch concept.</t>
  </si>
  <si>
    <t xml:space="preserve">Có định hướng nhưng chưa rõ/nhất quán.</t>
  </si>
  <si>
    <t xml:space="preserve">Định hướng nghệ thuật nhất quán &amp; rõ cho nhóm; 0 lệch concept.</t>
  </si>
  <si>
    <t xml:space="preserve">Art direction nâng tầm; nhóm tạo ra hệ thống thị giác đồng nhất.</t>
  </si>
  <si>
    <t xml:space="preserve">Nâng tầm thương hiệu</t>
  </si>
  <si>
    <t xml:space="preserve">Thiết kế an toàn/nhạt; không khác biệt.</t>
  </si>
  <si>
    <t xml:space="preserve">Đẹp nhưng chưa khác biệt so với đối thủ.</t>
  </si>
  <si>
    <t xml:space="preserve">Đề xuất giải pháp thị giác nâng tầm &amp; khác biệt; được ghi nhận.</t>
  </si>
  <si>
    <t xml:space="preserve">Định hình ngôn ngữ thị giác riêng cho thương hiệu.</t>
  </si>
  <si>
    <t xml:space="preserve">NHÓM N2 – THỰC THI THIẾT KẾ ĐA ĐỊNH DẠNG (HANDS-ON) (25%)</t>
  </si>
  <si>
    <t xml:space="preserve">Thiết kế KV/social/ads</t>
  </si>
  <si>
    <t xml:space="preserve">Không tự thiết kế tốt; chất lượng thấp; sai brief.</t>
  </si>
  <si>
    <t xml:space="preserve">Thiết kế được nhưng cần sửa nhiều; chưa nổi bật.</t>
  </si>
  <si>
    <t xml:space="preserve">Tự thiết kế KV/social/ads đạt brief, brand &amp; chất lượng cao, đúng deadline.</t>
  </si>
  <si>
    <t xml:space="preserve">Thiết kế nổi bật, hiệu quả; là chuẩn chất lượng cho nhóm.</t>
  </si>
  <si>
    <t xml:space="preserve">Packaging &amp; ấn phẩm</t>
  </si>
  <si>
    <t xml:space="preserve">Lỗi kỹ thuật in (màu/bleed/format); không chuẩn sản xuất.</t>
  </si>
  <si>
    <t xml:space="preserve">Cơ bản đúng nhưng còn sai sót kỹ thuật.</t>
  </si>
  <si>
    <t xml:space="preserve">Artwork đạt chuẩn in ấn/sản xuất; 0 lỗi kỹ thuật.</t>
  </si>
  <si>
    <t xml:space="preserve">Tối ưu artwork cho sản xuất; phối hợp in ấn mượt; chất lượng cao.</t>
  </si>
  <si>
    <t xml:space="preserve">Thiết kế sàn TMĐT/web</t>
  </si>
  <si>
    <t xml:space="preserve">Sai chuẩn kênh; thiết kế không hỗ trợ chuyển đổi.</t>
  </si>
  <si>
    <t xml:space="preserve">Đúng cơ bản nhưng chưa tối ưu chuyển đổi.</t>
  </si>
  <si>
    <t xml:space="preserve">Thiết kế đúng chuẩn từng kênh/sàn; hỗ trợ chuyển đổi.</t>
  </si>
  <si>
    <t xml:space="preserve">Tối ưu thị giác cho chuyển đổi; phối hợp Media nâng hiệu quả.</t>
  </si>
  <si>
    <t xml:space="preserve">NHÓM N3 – QUẢN TRỊ NHẬN DIỆN &amp; HỆ THỐNG THIẾT KẾ (15%)</t>
  </si>
  <si>
    <t xml:space="preserve">Brand guidelines &amp; tuân thủ</t>
  </si>
  <si>
    <t xml:space="preserve">Không có/không giữ guidelines; nhận diện lộn xộn.</t>
  </si>
  <si>
    <t xml:space="preserve">Có guidelines nhưng chưa thực thi nghiêm.</t>
  </si>
  <si>
    <t xml:space="preserve">Xây &amp; cập nhật guidelines; 100% sản phẩm đúng nhận diện; 0 vi phạm.</t>
  </si>
  <si>
    <t xml:space="preserve">Nâng cấp hệ thống nhận diện; nhất quán mà vẫn sáng tạo.</t>
  </si>
  <si>
    <t xml:space="preserve">Design system &amp; template</t>
  </si>
  <si>
    <t xml:space="preserve">Mỗi người làm lại từ đầu; không tái sử dụng.</t>
  </si>
  <si>
    <t xml:space="preserve">Có vài template nhưng chưa hệ thống.</t>
  </si>
  <si>
    <t xml:space="preserve">Xây design system/template &amp; thư viện dùng chung; tăng tốc &amp; đồng đều.</t>
  </si>
  <si>
    <t xml:space="preserve">Hệ thống thiết kế tối ưu, nhân rộng; nhóm sản xuất nhanh &amp; nhất quán.</t>
  </si>
  <si>
    <t xml:space="preserve">Kiểm soát nhất quán</t>
  </si>
  <si>
    <t xml:space="preserve">Sản phẩm lệch nhận diện ra ngoài; không review.</t>
  </si>
  <si>
    <t xml:space="preserve">Review nhưng đôi khi lọt lỗi.</t>
  </si>
  <si>
    <t xml:space="preserve">Review trước bàn giao; 0 sản phẩm lệch nhận diện ra ngoài.</t>
  </si>
  <si>
    <t xml:space="preserve">Chuẩn kiểm soát chất lượng nhận diện; phòng lỗi chủ động.</t>
  </si>
  <si>
    <t xml:space="preserve">NHÓM N4 – LÃNH ĐẠO &amp; PHÁT TRIỂN NHÓM THIẾT KẾ (20%)</t>
  </si>
  <si>
    <t xml:space="preserve">Giao việc &amp; quản tiến độ</t>
  </si>
  <si>
    <t xml:space="preserve">Giao việc không rõ; trễ deadline; quản theo cảm tính.</t>
  </si>
  <si>
    <t xml:space="preserve">Giao việc rõ nhưng theo dõi lỏng; hay trễ.</t>
  </si>
  <si>
    <t xml:space="preserve">100% NV có KPI &amp; nhịp review; 0 trễ deadline lớn do quản lý.</t>
  </si>
  <si>
    <t xml:space="preserve">Vận hành nhóm hiệu quả; nhiều dự án song song đúng hạn.</t>
  </si>
  <si>
    <t xml:space="preserve">Phát triển năng lực (tay nghề+gu+công cụ)</t>
  </si>
  <si>
    <t xml:space="preserve">Không phát triển nhóm; ai biết gì làm nấy.</t>
  </si>
  <si>
    <t xml:space="preserve">Phát triển tự phát; thiếu IDP &amp; coaching.</t>
  </si>
  <si>
    <t xml:space="preserve">100% có IDP; art-direct &amp; coaching đều; nâng tay nghề-gu-công cụ đo được.</t>
  </si>
  <si>
    <t xml:space="preserve">Nhóm giỏi &amp; đồng đều; ≥ 1 kế thừa; là 'lò' đào tạo designer.</t>
  </si>
  <si>
    <t xml:space="preserve">Văn hóa &amp; giữ người</t>
  </si>
  <si>
    <t xml:space="preserve">Áp lực deadline gây căng thẳng; turnover cao.</t>
  </si>
  <si>
    <t xml:space="preserve">Giữ được người nhưng văn hóa chưa rõ.</t>
  </si>
  <si>
    <t xml:space="preserve">Văn hóa sáng tạo + kỷ luật deadline; eNPS ≥ 35; nhóm chủ động học công cụ.</t>
  </si>
  <si>
    <t xml:space="preserve">Nhóm gắn kết, sáng tạo &amp; ham học; thu hút &amp; giữ người giỏi.</t>
  </si>
  <si>
    <t xml:space="preserve">NHÓM N5 – QUẢN TRỊ QUY TRÌNH, TIẾN ĐỘ &amp; CHẤT LƯỢNG (12%)</t>
  </si>
  <si>
    <t xml:space="preserve">Quy trình &amp; ưu tiên</t>
  </si>
  <si>
    <t xml:space="preserve">Yêu cầu lộn xộn; 'mất dấu'; trễ chiến dịch.</t>
  </si>
  <si>
    <t xml:space="preserve">Có quy trình nhưng chưa nhất quán.</t>
  </si>
  <si>
    <t xml:space="preserve">Quy trình brief→duyệt→bàn giao rõ; 0 yêu cầu mất dấu; ưu tiên hợp lý.</t>
  </si>
  <si>
    <t xml:space="preserve">Vận hành nhiều dự án mượt; tối ưu công suất nhóm.</t>
  </si>
  <si>
    <t xml:space="preserve">Chất lượng kỹ thuật</t>
  </si>
  <si>
    <t xml:space="preserve">Lỗi màu/kích thước/định dạng/độ phân giải ra ngoài.</t>
  </si>
  <si>
    <t xml:space="preserve">Cơ bản đúng nhưng đôi khi lỗi.</t>
  </si>
  <si>
    <t xml:space="preserve">File bàn giao đúng chuẩn từng kênh/in ấn; 0 lỗi kỹ thuật ra ngoài.</t>
  </si>
  <si>
    <t xml:space="preserve">Chuẩn kỹ thuật chuẩn mực; phòng lỗi &amp; tối ưu file.</t>
  </si>
  <si>
    <t xml:space="preserve">NHÓM N6 – TƯ DUY &amp; THÁI ĐỘ (SÁNG TẠO, XU HƯỚNG/CÔNG CỤ, KỶ LUẬT) (8%)</t>
  </si>
  <si>
    <t xml:space="preserve">Sáng tạo &amp; cập nhật công cụ/xu hướng</t>
  </si>
  <si>
    <t xml:space="preserve">Bảo thủ; ngại cái mới; không cập nhật.</t>
  </si>
  <si>
    <t xml:space="preserve">Có sáng tạo nhưng chưa chủ động cập nhật công cụ/xu hướng.</t>
  </si>
  <si>
    <t xml:space="preserve">Sáng tạo &amp; chủ động học xu hướng/công cụ (gồm AI design); áp dụng.</t>
  </si>
  <si>
    <t xml:space="preserve">Tác nhân đổi mới thị giác; truyền cảm hứng sáng tạo cho nhóm.</t>
  </si>
  <si>
    <t xml:space="preserve">Kỷ luật deadline &amp; tuân thủ brand/bản quyền</t>
  </si>
  <si>
    <t xml:space="preserve">Trễ deadline; coi nhẹ brand/bản quyền; gây rủi ro.</t>
  </si>
  <si>
    <t xml:space="preserve">Cơ bản đúng nhưng đôi lúc trễ/lơ là.</t>
  </si>
  <si>
    <t xml:space="preserve">Giữ kỷ luật deadline; tuân thủ brand &amp; bản quyền; miss KPI action ≤ 48h.</t>
  </si>
  <si>
    <t xml:space="preserve">Chuẩn mực kỷ luật &amp; tuân thủ; bảo vệ thương hiệu chủ động.</t>
  </si>
  <si>
    <t xml:space="preserve">PHIẾU ĐÁNH GIÁ NĂNG LỰC – CHUYÊN VIÊN THIẾT KẾ (ĐỒ HỌA &amp; SÁNG TẠO)</t>
  </si>
  <si>
    <t xml:space="preserve">CTCP Hùng Phát | Đánh giá định kỳ: Đầu vào / Quý / Cuối năm</t>
  </si>
  <si>
    <t xml:space="preserve">▌ THÔNG TIN</t>
  </si>
  <si>
    <t xml:space="preserve">Họ và tên:___________________________   Mã NV: ___________</t>
  </si>
  <si>
    <t xml:space="preserve">Chức danh: Chuyên viên Thiết kế (Đồ họa &amp; Sáng tạo)   Bộ phận: Nhóm Thiết kế</t>
  </si>
  <si>
    <t xml:space="preserve">Ngày đánh giá: ___/___/______   Người đánh giá: _____________   Vị trí: TP/GĐ Marketing</t>
  </si>
  <si>
    <t xml:space="preserve">Kỳ đánh giá: □ Đầu vào   □ Quý 1   □ Quý 2   □ Quý 3   □ Cuối năm</t>
  </si>
  <si>
    <t xml:space="preserve">▌ HƯỚNG DẪN: Ghi số cấp (1-4) vào cột 'Cấp hiện tại' + bằng chứng cụ thể quan sát được. Điểm ≥ 3.0 = Đạt yêu cầu vị trí CV Thiết kế.</t>
  </si>
  <si>
    <t xml:space="preserve">TIÊU CHÍ ĐÁNH GIÁ</t>
  </si>
  <si>
    <t xml:space="preserve">BẰNG CHỨNG / VÍ DỤ QUAN SÁT ĐƯỢC</t>
  </si>
  <si>
    <t xml:space="preserve">CẤP (1-4)</t>
  </si>
  <si>
    <t xml:space="preserve">HÀNH ĐỘNG PHÁT TRIỂN</t>
  </si>
  <si>
    <t xml:space="preserve">NHÓM N1 – TƯ DUY THIẾT KẾ, CONCEPT &amp; ART DIRECTION (Trọng số 20%)</t>
  </si>
  <si>
    <t xml:space="preserve">1.1  Phát triển concept/KV</t>
  </si>
  <si>
    <t xml:space="preserve">1.2  Art direction cho nhóm</t>
  </si>
  <si>
    <t xml:space="preserve">1.3  Nâng tầm thương hiệu</t>
  </si>
  <si>
    <t xml:space="preserve">→</t>
  </si>
  <si>
    <t xml:space="preserve">ĐIỂM TRUNG BÌNH NHÓM N1</t>
  </si>
  <si>
    <t xml:space="preserve">_____ / 4.0</t>
  </si>
  <si>
    <t xml:space="preserve">NHÓM N2 – THỰC THI THIẾT KẾ ĐA ĐỊNH DẠNG (Trọng số 25%)</t>
  </si>
  <si>
    <t xml:space="preserve">2.1  Thiết kế KV/social/ads</t>
  </si>
  <si>
    <t xml:space="preserve">2.2  Packaging &amp; ấn phẩm</t>
  </si>
  <si>
    <t xml:space="preserve">2.3  Thiết kế sàn TMĐT/web</t>
  </si>
  <si>
    <t xml:space="preserve">ĐIỂM TRUNG BÌNH NHÓM N2</t>
  </si>
  <si>
    <t xml:space="preserve">NHÓM N3 – QUẢN TRỊ NHẬN DIỆN &amp; HỆ THỐNG THIẾT KẾ (Trọng số 15%)</t>
  </si>
  <si>
    <t xml:space="preserve">3.1  Brand guidelines &amp; tuân thủ</t>
  </si>
  <si>
    <t xml:space="preserve">3.2  Design system &amp; template</t>
  </si>
  <si>
    <t xml:space="preserve">3.3  Kiểm soát nhất quán</t>
  </si>
  <si>
    <t xml:space="preserve">ĐIỂM TRUNG BÌNH NHÓM N3</t>
  </si>
  <si>
    <t xml:space="preserve">NHÓM N4 – LÃNH ĐẠO &amp; PHÁT TRIỂN NHÓM THIẾT KẾ (Trọng số 20%)</t>
  </si>
  <si>
    <t xml:space="preserve">4.1  Giao việc &amp; quản tiến độ</t>
  </si>
  <si>
    <t xml:space="preserve">4.2  Phát triển năng lực (tay nghề+gu+công cụ)</t>
  </si>
  <si>
    <t xml:space="preserve">4.3  Văn hóa &amp; giữ người</t>
  </si>
  <si>
    <t xml:space="preserve">ĐIỂM TRUNG BÌNH NHÓM N4</t>
  </si>
  <si>
    <t xml:space="preserve">NHÓM N5 – QUẢN TRỊ QUY TRÌNH, TIẾN ĐỘ &amp; CHẤT LƯỢNG (Trọng số 12%)</t>
  </si>
  <si>
    <t xml:space="preserve">5.1  Quy trình &amp; ưu tiên</t>
  </si>
  <si>
    <t xml:space="preserve">5.2  Chất lượng kỹ thuật</t>
  </si>
  <si>
    <t xml:space="preserve">ĐIỂM TRUNG BÌNH NHÓM N5</t>
  </si>
  <si>
    <t xml:space="preserve">NHÓM N6 – TƯ DUY &amp; THÁI ĐỘ (SÁNG TẠO, CÔNG CỤ, KỶ LUẬT) (Trọng số 8%)</t>
  </si>
  <si>
    <t xml:space="preserve">6.1  Sáng tạo &amp; cập nhật công cụ/xu hướng</t>
  </si>
  <si>
    <t xml:space="preserve">6.2  Kỷ luật deadline &amp; tuân thủ brand/bản quyền</t>
  </si>
  <si>
    <t xml:space="preserve">ĐIỂM TRUNG BÌNH NHÓM N6</t>
  </si>
  <si>
    <t xml:space="preserve">▌ TỔNG KẾT ĐÁNH GIÁ</t>
  </si>
  <si>
    <t xml:space="preserve">ĐIỂM TỔNG HỢP CÓ TRỌNG SỐ: N1×20% + N2×25% + N3×15% + N4×20% + N5×12% + N6×8% = _____ / 4.0</t>
  </si>
  <si>
    <t xml:space="preserve">XẾP LOẠI:  □ Cần phát triển (&lt; 1.5)   □ Đang phát triển (1.5–2.49)   □ Đạt yêu cầu (2.5–3.49)   □ Xuất sắc (≥ 3.5)</t>
  </si>
  <si>
    <t xml:space="preserve">ĐIỂM MẠNH CẦN PHÁT HUY: ___________________________________________</t>
  </si>
  <si>
    <t xml:space="preserve">ĐIỂM CẦN CẢI THIỆN NGAY (ưu tiên top 1-2): _____________________________</t>
  </si>
  <si>
    <t xml:space="preserve">KẾ HOẠCH PHÁT TRIỂN 6 THÁNG TỚI: _____________________________________</t>
  </si>
  <si>
    <t xml:space="preserve">Người được đánh giá ký:_______________   Người đánh giá ký:_______________   Ngày: ___/___/______</t>
  </si>
  <si>
    <t xml:space="preserve">BỘ CÂU HỎI PHỎNG VẤN STAR – CHUYÊN VIÊN THIẾT KẾ (ĐỒ HỌA &amp; SÁNG TẠO)</t>
  </si>
  <si>
    <t xml:space="preserve">CTCP Hùng Phát | Panel 2 người | TP/GĐ Marketing + (tùy chọn) Content/Art Director</t>
  </si>
  <si>
    <t xml:space="preserve">Hội đồng PV: TP/GĐ Marketing + (tùy chọn) Content/Art Director. Thời gian: 60–90 phút. BẮT BUỘC XEM PORTFOLIO (KV/social/ads/packaging/sàn) &amp; hỏi quy trình thiết kế thực tế. Đánh giá cả tay nghề HANDS-ON &amp; gu/art direction lẫn năng lực dẫn dắt. Điểm ≥ 3.0 để đạt.</t>
  </si>
  <si>
    <t xml:space="preserve">CÂU HỎI PHỎNG VẤN (STAR)</t>
  </si>
  <si>
    <t xml:space="preserve">HƯỚNG DẪN ĐÁNH GIÁ &amp; CỜ ĐỎ</t>
  </si>
  <si>
    <t xml:space="preserve">ĐIỂM (1-4)</t>
  </si>
  <si>
    <t xml:space="preserve">GHI CHÚ QUAN SÁT</t>
  </si>
  <si>
    <t xml:space="preserve">N1/N2 – TAY NGHỀ &amp; GU (QUAN TRỌNG)</t>
  </si>
  <si>
    <t xml:space="preserve">Giới thiệu 2-3 sản phẩm trong portfolio bạn tâm đắc. Concept là gì, bạn giải bài toán brief &amp; brand thế nào?</t>
  </si>
  <si>
    <t xml:space="preserve">Tìm: Tư duy concept, gu thẩm mỹ, gắn brief &amp; brand, tay nghề.
🚩 Cờ đỏ: Đẹp nhưng không có concept | Không gắn brief | Portfolio yếu</t>
  </si>
  <si>
    <t xml:space="preserve">Một KV cho đợt ra mắt vali mới: quy trình của bạn từ brief đến bản hoàn thiện là gì? Mất bao lâu?</t>
  </si>
  <si>
    <t xml:space="preserve">Tìm: Quy trình thiết kế bài bản, art direction, tốc độ.
🚩 Cờ đỏ: Làm không quy trình | Bỏ qua brief | Quá chậm</t>
  </si>
  <si>
    <t xml:space="preserve">N3 – NHẬN DIỆN &amp; HỆ THỐNG</t>
  </si>
  <si>
    <t xml:space="preserve">Bạn xây/giữ brand guidelines &amp; design system cho một thương hiệu thế nào để nhóm dùng nhất quán?</t>
  </si>
  <si>
    <t xml:space="preserve">Tìm: Tư duy hệ thống, guidelines, template, nhất quán.
🚩 Cờ đỏ: Không biết design system | Mỗi sản phẩm một kiểu</t>
  </si>
  <si>
    <t xml:space="preserve">Khi cần thiết kế cho nhiều kênh (social/sàn/in ấn) cùng một chiến dịch, bạn đảm bảo nhất quán &amp; đúng chuẩn kỹ thuật thế nào?</t>
  </si>
  <si>
    <t xml:space="preserve">Tìm: Hiểu chuẩn từng kênh, nhất quán, kỹ thuật in/màu/định dạng.
🚩 Cờ đỏ: Không nắm chuẩn kênh | Lỗi kỹ thuật in</t>
  </si>
  <si>
    <t xml:space="preserve">N4 – LÃNH ĐẠO NHÓM</t>
  </si>
  <si>
    <t xml:space="preserve">Bạn art-direct &amp; review bài của một designer trong nhóm thế nào để vừa giữ chất lượng vừa phát triển họ?</t>
  </si>
  <si>
    <t xml:space="preserve">Tìm: Art direction, feedback xây dựng, phát triển người.
🚩 Cờ đỏ: Làm thay | Chê bai | Không phát triển</t>
  </si>
  <si>
    <t xml:space="preserve">Khi nhiều yêu cầu thiết kế dồn deadline cùng lúc &amp; nhóm quá tải, bạn xử lý thế nào?</t>
  </si>
  <si>
    <t xml:space="preserve">Tìm: Ưu tiên, phân bổ, quy trình, dùng template/công cụ tăng tốc.
🚩 Cờ đỏ: Ôm hết | Để trễ | Đốt sức nhóm</t>
  </si>
  <si>
    <t xml:space="preserve">N6 – CÔNG CỤ &amp; TÌNH HUỐNG</t>
  </si>
  <si>
    <t xml:space="preserve">7</t>
  </si>
  <si>
    <t xml:space="preserve">Bạn cập nhật xu hướng thiết kế &amp; dùng công cụ mới (gồm AI design) thế nào? Cho ví dụ áp dụng.</t>
  </si>
  <si>
    <t xml:space="preserve">Tìm: Chủ động cập nhật, ứng dụng công cụ/AI hợp lý.
🚩 Cờ đỏ: Bảo thủ | Ngại công cụ mới | Phụ thuộc AI mù quáng</t>
  </si>
  <si>
    <t xml:space="preserve">8</t>
  </si>
  <si>
    <t xml:space="preserve">Bộ phận khác (Sales/Sản phẩm) phản hồi 'thiết kế chưa ổn' nhiều lần. Bạn xử lý &amp; phối hợp thế nào?</t>
  </si>
  <si>
    <t xml:space="preserve">Tìm: Lắng nghe, làm rõ brief, phối hợp, bảo vệ chất lượng có lý lẽ.
🚩 Cờ đỏ: Bảo thủ cãi | Làm theo vô điều kiện | Không làm rõ brief</t>
  </si>
  <si>
    <t xml:space="preserve">SCORE CARD TUYỂN DỤNG – CHUYÊN VIÊN THIẾT KẾ (ĐỒ HỌA &amp; SÁNG TẠO)</t>
  </si>
  <si>
    <t xml:space="preserve">CTCP Hùng Phát | Panel ≥ 3 người</t>
  </si>
  <si>
    <t xml:space="preserve">▌ THÔNG TIN ỨNG VIÊN</t>
  </si>
  <si>
    <t xml:space="preserve">Họ tên:</t>
  </si>
  <si>
    <t xml:space="preserve">Ngày PV:</t>
  </si>
  <si>
    <t xml:space="preserve">Người PV:</t>
  </si>
  <si>
    <t xml:space="preserve">Vị trí: Chuyên viên Thiết kế (Đồ họa &amp; Sáng tạo) – HungPhat</t>
  </si>
  <si>
    <t xml:space="preserve">▌ BẢNG ĐIỂM NĂNG LỰC</t>
  </si>
  <si>
    <t xml:space="preserve">ĐIỂM TRỌNG SỐ</t>
  </si>
  <si>
    <t xml:space="preserve">MỨC ĐẠT TỐI THIỂU</t>
  </si>
  <si>
    <t xml:space="preserve">NHẬN XÉT PANEL</t>
  </si>
  <si>
    <t xml:space="preserve">N1 – Tư duy Thiết kế, Concept &amp; Art Direction</t>
  </si>
  <si>
    <t xml:space="preserve">Cấp 3 (3.0)</t>
  </si>
  <si>
    <t xml:space="preserve">N2 – Thực thi Thiết kế đa định dạng (hands-on)</t>
  </si>
  <si>
    <t xml:space="preserve">N3 – Quản trị Nhận diện &amp; Hệ thống Thiết kế</t>
  </si>
  <si>
    <t xml:space="preserve">N4 – Lãnh đạo &amp; Phát triển Nhóm Thiết kế</t>
  </si>
  <si>
    <t xml:space="preserve">N5 – Quản trị Quy trình, Tiến độ &amp; Chất lượng</t>
  </si>
  <si>
    <t xml:space="preserve">N6 – Tư duy &amp; Thái độ (Sáng tạo, Công cụ, Kỷ luật)</t>
  </si>
  <si>
    <t xml:space="preserve">TỔNG ĐIỂM TRỌNG SỐ</t>
  </si>
  <si>
    <t xml:space="preserve">▌ ĐIỀU KIỆN LOẠI THẲNG</t>
  </si>
  <si>
    <t xml:space="preserve">🚫  Portfolio yếu/không thể hiện gu &amp; tay nghề thật → Loại — vị trí cần hands-on &amp; gu thẩm mỹ</t>
  </si>
  <si>
    <t xml:space="preserve">🚫  Điểm N2 (Thực thi thiết kế) hoặc N1 (Concept/Art direction) &lt; 3.0 → Loại</t>
  </si>
  <si>
    <t xml:space="preserve">🚫  Không nắm chuẩn kỹ thuật (màu/bleed/định dạng/độ phân giải) &amp; gây lỗi in ấn → Cân nhắc kỹ/Loại</t>
  </si>
  <si>
    <t xml:space="preserve">🚫  Không hiểu/không giữ được nhận diện thương hiệu (mỗi sản phẩm một kiểu) → Loại</t>
  </si>
  <si>
    <t xml:space="preserve">🚫  Coi nhẹ bản quyền (font/ảnh/AI) → Cân nhắc kỹ/Loại</t>
  </si>
  <si>
    <t xml:space="preserve">🚫  Tổng điểm trọng số &lt; 2.5 → Loại</t>
  </si>
  <si>
    <t xml:space="preserve">▌ KHUYẾN NGHỊ</t>
  </si>
  <si>
    <t xml:space="preserve">⭐ Điểm ≥ 3.5</t>
  </si>
  <si>
    <t xml:space="preserve">ƯU TIÊN CAO — Offer trong 48h; hiếm người vừa thiết kế giỏi, gu tốt vừa dẫn dắt được</t>
  </si>
  <si>
    <t xml:space="preserve">✅ Điểm 3.0–3.49</t>
  </si>
  <si>
    <t xml:space="preserve">ĐẠT — Tuyển được; IDP cho mảng yếu (lãnh đạo hoặc hệ thống thiết kế); review sau 3 tháng</t>
  </si>
  <si>
    <t xml:space="preserve">⚠️ Điểm 2.5–2.99</t>
  </si>
  <si>
    <t xml:space="preserve">CÂN NHẮC — Chỉ nếu tay nghề &amp; gu (N1/N2) tốt &amp; có thể đào tạo lãnh đạo; kèm sát 6 tháng</t>
  </si>
  <si>
    <t xml:space="preserve">❌ Điểm &lt; 2.5 hoặc portfolio/gu yếu</t>
  </si>
  <si>
    <t xml:space="preserve">LOẠI — Không phù hợp vị trí CV Thiết kế tại HungPhat</t>
  </si>
  <si>
    <t xml:space="preserve">KẾ HOẠCH 30 – 60 – 90 NGÀY – CHUYÊN VIÊN THIẾT KẾ (ĐỒ HỌA &amp; SÁNG TẠO)</t>
  </si>
  <si>
    <t xml:space="preserve">CTCP Hùng Phát | Cam kết 2 chiều: CV Thiết kế &amp; Công ty</t>
  </si>
  <si>
    <t xml:space="preserve">CV Thiết kế cam kết: Trực tiếp thiết kế &amp; art-direct (không chỉ quản lý) · Giữ nhận diện nhất quán · Chuẩn hóa quy trình &amp; file bàn giao · Tuân thủ bản quyền · Phát triển nhóm thiết kế.</t>
  </si>
  <si>
    <t xml:space="preserve">Công ty cam kết: Bàn giao brand guidelines, tài sản số, công cụ thiết kế &amp; nhóm tuần đầu · Cung cấp phần mềm/công cụ (gồm AI design) cần thiết · Hỗ trợ phối hợp Content/Media/Sản phẩm · Tiếp cận TP/GĐ MKT theo nhịp.</t>
  </si>
  <si>
    <t xml:space="preserve">TUẦN</t>
  </si>
  <si>
    <t xml:space="preserve">CHỦ ĐỀ</t>
  </si>
  <si>
    <t xml:space="preserve">HÀNH ĐỘNG CỤ THỂ</t>
  </si>
  <si>
    <t xml:space="preserve">NGƯỜI HỖ TRỢ</t>
  </si>
  <si>
    <t xml:space="preserve">HOÀN THÀNH</t>
  </si>
  <si>
    <t xml:space="preserve">GIAI ĐOẠN 1 – 30 NGÀY ĐẦU: HIỂU BRAND, NHÓM, TÀI SẢN &amp; QUY TRÌNH</t>
  </si>
  <si>
    <t xml:space="preserve">Tuần 1</t>
  </si>
  <si>
    <t xml:space="preserve">Tiếp nhận &amp; Định hướng</t>
  </si>
  <si>
    <t xml:space="preserve">Gặp TP/GĐ MKT: nhận kỳ vọng (chất lượng, tiến độ, nhận diện), thẩm quyền, top 3 ưu tiên. Nhận brand guidelines, tài sản số, công cụ. Gặp 1-1 nhóm.</t>
  </si>
  <si>
    <t xml:space="preserve">□</t>
  </si>
  <si>
    <t xml:space="preserve">Tuần 2</t>
  </si>
  <si>
    <t xml:space="preserve">Audit nhận diện &amp; thiết kế hiện trạng</t>
  </si>
  <si>
    <t xml:space="preserve">Rà thiết kế 6-12 tháng &amp; mức độ nhất quán nhận diện trên các kênh. Đánh giá điểm mạnh/yếu thị giác thương hiệu.</t>
  </si>
  <si>
    <t xml:space="preserve">Tuần 3</t>
  </si>
  <si>
    <t xml:space="preserve">Đánh giá nhóm, tài sản &amp; quy trình</t>
  </si>
  <si>
    <t xml:space="preserve">Đánh giá năng lực từng designer (tay nghề/gu/công cụ); rà tài sản số (file gốc/template) &amp; quy trình hiện tại.</t>
  </si>
  <si>
    <t xml:space="preserve">Nhóm · IT</t>
  </si>
  <si>
    <t xml:space="preserve">Tuần 4</t>
  </si>
  <si>
    <t xml:space="preserve">Báo cáo 30 ngày</t>
  </si>
  <si>
    <t xml:space="preserve">Hoàn thành đánh giá hiện trạng + top 5 cơ hội (nhận diện, hệ thống, quy trình, nhóm). Trình action plan 60-90 ngày.</t>
  </si>
  <si>
    <t xml:space="preserve">DELIVERABLE GIAI ĐOẠN 1 ✅</t>
  </si>
  <si>
    <t xml:space="preserve">Deliverables bắt buộc</t>
  </si>
  <si>
    <t xml:space="preserve">✅ Đánh giá nhận diện &amp; thiết kế hiện trạng
✅ Đánh giá năng lực nhóm &amp; tài sản/quy trình
✅ Top 5 cơ hội + action plan được TP/GĐ MKT duyệt</t>
  </si>
  <si>
    <t xml:space="preserve">GIAI ĐOẠN 2 – 31-60 NGÀY: CHUẨN HÓA HỆ THỐNG &amp; QUY TRÌNH THIẾT KẾ</t>
  </si>
  <si>
    <t xml:space="preserve">Tuần 5-6</t>
  </si>
  <si>
    <t xml:space="preserve">Chuẩn hóa nhận diện &amp; design system</t>
  </si>
  <si>
    <t xml:space="preserve">Cập nhật brand guidelines; xây/hoàn thiện design system &amp; thư viện template dùng chung cho nhóm.</t>
  </si>
  <si>
    <t xml:space="preserve">Tuần 7</t>
  </si>
  <si>
    <t xml:space="preserve">Chuẩn hóa quy trình thiết kế</t>
  </si>
  <si>
    <t xml:space="preserve">Quy trình brief→thiết kế→duyệt→chỉnh→bàn giao &amp; chuẩn file/kỹ thuật từng kênh; áp dụng cho nhóm.</t>
  </si>
  <si>
    <t xml:space="preserve">Tuần 8</t>
  </si>
  <si>
    <t xml:space="preserve">Phát triển nhóm &amp; thực thi thực tế</t>
  </si>
  <si>
    <t xml:space="preserve">Lập &amp; phê duyệt IDP nhóm. Trực tiếp + nhóm thiết kế ≥ 1 chiến dịch/bộ KV đạt brand.</t>
  </si>
  <si>
    <t xml:space="preserve">GĐHR · Nhóm</t>
  </si>
  <si>
    <t xml:space="preserve">DELIVERABLE GIAI ĐOẠN 2 ✅</t>
  </si>
  <si>
    <t xml:space="preserve">✅ Brand guidelines &amp; design system/template chuẩn
✅ Quy trình thiết kế &amp; chuẩn file áp dụng
✅ IDP nhóm phê duyệt + ≥ 1 chiến dịch/bộ KV đạt brand</t>
  </si>
  <si>
    <t xml:space="preserve">GIAI ĐOẠN 3 – 61-90 NGÀY: CHẤT LƯỢNG, HIỆU QUẢ &amp; CAM KẾT</t>
  </si>
  <si>
    <t xml:space="preserve">Tuần 9-10</t>
  </si>
  <si>
    <t xml:space="preserve">Nâng chất lượng &amp; hiệu quả thiết kế</t>
  </si>
  <si>
    <t xml:space="preserve">Nâng chất lượng creative; phối hợp Media/Content để thiết kế hỗ trợ hiệu quả chiến dịch.</t>
  </si>
  <si>
    <t xml:space="preserve">Media · Content</t>
  </si>
  <si>
    <t xml:space="preserve">Tuần 11</t>
  </si>
  <si>
    <t xml:space="preserve">Chuẩn hóa quản trị tài sản &amp; bản quyền</t>
  </si>
  <si>
    <t xml:space="preserve">Hệ thống lưu trữ file gốc/template, backup; chuẩn tuân thủ bản quyền (font/ảnh/AI).</t>
  </si>
  <si>
    <t xml:space="preserve">TP/GĐ MKT · IT · Pháp chế</t>
  </si>
  <si>
    <t xml:space="preserve">Tuần 12</t>
  </si>
  <si>
    <t xml:space="preserve">Tổng kết 90 ngày</t>
  </si>
  <si>
    <t xml:space="preserve">Báo cáo: chất lượng, tiến độ, nhận diện, nhóm, bài học. Trình KPI &amp; kế hoạch thiết kế 6 tháng tiếp.</t>
  </si>
  <si>
    <t xml:space="preserve">DELIVERABLE GIAI ĐOẠN 3 ✅</t>
  </si>
  <si>
    <t xml:space="preserve">✅ Chất lượng thiết kế đạt ≥ KH; nhận diện nhất quán
✅ Quản trị tài sản số &amp; bản quyền chuẩn
✅ KPI &amp; kế hoạch thiết kế 6 tháng tiếp được TP/GĐ MKT ký</t>
  </si>
  <si>
    <t xml:space="preserve">LỘ TRÌNH PHÁT TRIỂN – CHUYÊN VIÊN THIẾT KẾ (ĐỒ HỌA &amp; SÁNG TẠO)</t>
  </si>
  <si>
    <t xml:space="preserve">CTCP Hùng Phát | Lộ trình thăng tiến từ vị trí hiện tại</t>
  </si>
  <si>
    <t xml:space="preserve">Đang đảm nhận</t>
  </si>
  <si>
    <t xml:space="preserve">12-24 tháng</t>
  </si>
  <si>
    <t xml:space="preserve">Trưởng nhóm Thiết kế / Senior dẫn dắt</t>
  </si>
  <si>
    <t xml:space="preserve">18-24 tháng</t>
  </si>
  <si>
    <t xml:space="preserve">24-36 tháng</t>
  </si>
  <si>
    <t xml:space="preserve">Định hướng nghệ thuật cấp thương hiệu; dẫn dắt mảng; tổ chức vững</t>
  </si>
  <si>
    <t xml:space="preserve">2-3 năm</t>
  </si>
  <si>
    <t xml:space="preserve">▌ ĐỂ ĐẠT THĂNG TIẾN NHANH HƠN – 3 ĐIỀU NÊN LÀM</t>
  </si>
  <si>
    <t xml:space="preserve">1. GU + TAY NGHỀ + ART DIRECTION LÀ LÕI: Vừa thiết kế giỏi vừa định hướng nghệ thuật cho cả nhóm → tạo hệ thống thị giác nhất quán &amp; nổi bật, được tin giao mảng lớn hơn.</t>
  </si>
  <si>
    <t xml:space="preserve">2. HỆ THỐNG HÓA THIẾT KẾ: Ai xây design system/brand guidelines &amp; quy trình giúp nhóm sản xuất nhanh, nhất quán → chứng minh tư duy xây dựng, là bệ phóng lên Art Director.</t>
  </si>
  <si>
    <t xml:space="preserve">3. THIẾT KẾ GẮN HIỆU QUẢ: Ai làm thiết kế hỗ trợ truyền thông/chuyển đổi (phối hợp Media/Content) → chứng minh thiết kế tạo giá trị kinh doanh, không chỉ 'đẹp'.</t>
  </si>
  <si>
    <t xml:space="preserve">▌ XÁC NHẬN &amp; HIỆU LỰC</t>
  </si>
  <si>
    <t xml:space="preserve">Người được bổ nhiệm xác nhận (Ký, ghi rõ họ tên):</t>
  </si>
  <si>
    <t xml:space="preserve">TP / GĐ Marketing phê duyệt (Ký, đóng dấu):</t>
  </si>
  <si>
    <t xml:space="preserve">Ngày hiệu lực: ___/___/______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</si>
</sst>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E9F3FF"/>
        <bgColor rgb="FFF2F2F2"/>
      </patternFill>
    </fill>
    <fill>
      <patternFill patternType="solid">
        <fgColor rgb="FFF2F2F2"/>
        <bgColor rgb="FFE9F3FF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EEAF1"/>
      </patternFill>
    </fill>
    <fill>
      <patternFill patternType="solid">
        <fgColor rgb="FFD6E4F0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7"/>
    <col collapsed="false" customWidth="true" hidden="false" outlineLevel="0" max="3" min="3" style="0" width="31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5.3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</row>
    <row r="6" customFormat="false" ht="22.3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</row>
    <row r="7" customFormat="false" ht="1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</row>
    <row r="8" customFormat="false" ht="22.35" hidden="false" customHeight="true" outlineLevel="0" collapsed="false">
      <c r="A8" s="4" t="s">
        <v>11</v>
      </c>
      <c r="B8" s="5" t="s">
        <v>12</v>
      </c>
      <c r="C8" s="5"/>
      <c r="D8" s="5"/>
      <c r="E8" s="5"/>
      <c r="F8" s="5"/>
    </row>
    <row r="9" customFormat="false" ht="22.35" hidden="false" customHeight="true" outlineLevel="0" collapsed="false">
      <c r="A9" s="4" t="s">
        <v>13</v>
      </c>
      <c r="B9" s="5" t="s">
        <v>14</v>
      </c>
      <c r="C9" s="5"/>
      <c r="D9" s="5"/>
      <c r="E9" s="5"/>
      <c r="F9" s="5"/>
    </row>
    <row r="10" customFormat="false" ht="22.35" hidden="false" customHeight="true" outlineLevel="0" collapsed="false">
      <c r="A10" s="4" t="s">
        <v>15</v>
      </c>
      <c r="B10" s="5" t="s">
        <v>16</v>
      </c>
      <c r="C10" s="5"/>
      <c r="D10" s="5"/>
      <c r="E10" s="5"/>
      <c r="F10" s="5"/>
    </row>
    <row r="11" customFormat="false" ht="32.8" hidden="false" customHeight="true" outlineLevel="0" collapsed="false">
      <c r="A11" s="4" t="s">
        <v>17</v>
      </c>
      <c r="B11" s="5" t="s">
        <v>18</v>
      </c>
      <c r="C11" s="5"/>
      <c r="D11" s="5"/>
      <c r="E11" s="5"/>
      <c r="F11" s="5"/>
    </row>
    <row r="12" customFormat="false" ht="15" hidden="false" customHeight="true" outlineLevel="0" collapsed="false">
      <c r="A12" s="4" t="s">
        <v>19</v>
      </c>
      <c r="B12" s="5" t="s">
        <v>20</v>
      </c>
      <c r="C12" s="5"/>
      <c r="D12" s="5"/>
      <c r="E12" s="5"/>
      <c r="F12" s="5"/>
    </row>
    <row r="13" customFormat="false" ht="22.35" hidden="false" customHeight="true" outlineLevel="0" collapsed="false">
      <c r="A13" s="4" t="s">
        <v>21</v>
      </c>
      <c r="B13" s="5" t="s">
        <v>22</v>
      </c>
      <c r="C13" s="5"/>
      <c r="D13" s="5"/>
      <c r="E13" s="5"/>
      <c r="F13" s="5"/>
    </row>
    <row r="14" customFormat="false" ht="19.5" hidden="false" customHeight="true" outlineLevel="0" collapsed="false">
      <c r="A14" s="3" t="s">
        <v>23</v>
      </c>
      <c r="B14" s="3"/>
      <c r="C14" s="3"/>
      <c r="D14" s="3"/>
      <c r="E14" s="3"/>
      <c r="F14" s="3"/>
    </row>
    <row r="15" customFormat="false" ht="57.75" hidden="false" customHeight="true" outlineLevel="0" collapsed="false">
      <c r="A15" s="6" t="s">
        <v>24</v>
      </c>
      <c r="B15" s="6"/>
      <c r="C15" s="6"/>
      <c r="D15" s="6"/>
      <c r="E15" s="6"/>
      <c r="F15" s="6"/>
    </row>
    <row r="16" customFormat="false" ht="19.5" hidden="false" customHeight="true" outlineLevel="0" collapsed="false">
      <c r="A16" s="3" t="s">
        <v>25</v>
      </c>
      <c r="B16" s="3"/>
      <c r="C16" s="3"/>
      <c r="D16" s="3"/>
      <c r="E16" s="3"/>
      <c r="F16" s="3"/>
    </row>
    <row r="17" customFormat="false" ht="24" hidden="false" customHeight="true" outlineLevel="0" collapsed="false">
      <c r="A17" s="7" t="s">
        <v>26</v>
      </c>
      <c r="B17" s="7" t="s">
        <v>27</v>
      </c>
      <c r="C17" s="7" t="s">
        <v>28</v>
      </c>
      <c r="D17" s="7" t="s">
        <v>29</v>
      </c>
      <c r="E17" s="7" t="s">
        <v>30</v>
      </c>
      <c r="F17" s="7" t="s">
        <v>31</v>
      </c>
    </row>
    <row r="18" customFormat="false" ht="18" hidden="false" customHeight="true" outlineLevel="0" collapsed="false">
      <c r="A18" s="8" t="s">
        <v>32</v>
      </c>
      <c r="B18" s="8"/>
      <c r="C18" s="8"/>
      <c r="D18" s="8"/>
      <c r="E18" s="8"/>
      <c r="F18" s="8"/>
    </row>
    <row r="19" customFormat="false" ht="45.75" hidden="false" customHeight="true" outlineLevel="0" collapsed="false">
      <c r="A19" s="9" t="s">
        <v>33</v>
      </c>
      <c r="B19" s="5" t="s">
        <v>34</v>
      </c>
      <c r="C19" s="5" t="s">
        <v>35</v>
      </c>
      <c r="D19" s="10" t="s">
        <v>36</v>
      </c>
      <c r="E19" s="10" t="s">
        <v>37</v>
      </c>
      <c r="F19" s="10" t="s">
        <v>38</v>
      </c>
    </row>
    <row r="20" customFormat="false" ht="45.75" hidden="false" customHeight="true" outlineLevel="0" collapsed="false">
      <c r="A20" s="11" t="s">
        <v>39</v>
      </c>
      <c r="B20" s="12" t="s">
        <v>40</v>
      </c>
      <c r="C20" s="12" t="s">
        <v>41</v>
      </c>
      <c r="D20" s="13" t="s">
        <v>36</v>
      </c>
      <c r="E20" s="13" t="s">
        <v>42</v>
      </c>
      <c r="F20" s="13" t="s">
        <v>43</v>
      </c>
    </row>
    <row r="21" customFormat="false" ht="45.75" hidden="false" customHeight="true" outlineLevel="0" collapsed="false">
      <c r="A21" s="9" t="s">
        <v>44</v>
      </c>
      <c r="B21" s="5" t="s">
        <v>45</v>
      </c>
      <c r="C21" s="5" t="s">
        <v>46</v>
      </c>
      <c r="D21" s="10" t="s">
        <v>47</v>
      </c>
      <c r="E21" s="10" t="s">
        <v>48</v>
      </c>
      <c r="F21" s="10" t="s">
        <v>49</v>
      </c>
    </row>
    <row r="22" customFormat="false" ht="18" hidden="false" customHeight="true" outlineLevel="0" collapsed="false">
      <c r="A22" s="8" t="s">
        <v>50</v>
      </c>
      <c r="B22" s="8"/>
      <c r="C22" s="8"/>
      <c r="D22" s="8"/>
      <c r="E22" s="8"/>
      <c r="F22" s="8"/>
    </row>
    <row r="23" customFormat="false" ht="45.75" hidden="false" customHeight="true" outlineLevel="0" collapsed="false">
      <c r="A23" s="9" t="s">
        <v>51</v>
      </c>
      <c r="B23" s="5" t="s">
        <v>52</v>
      </c>
      <c r="C23" s="5" t="s">
        <v>53</v>
      </c>
      <c r="D23" s="10" t="s">
        <v>54</v>
      </c>
      <c r="E23" s="10" t="s">
        <v>55</v>
      </c>
      <c r="F23" s="10" t="s">
        <v>56</v>
      </c>
    </row>
    <row r="24" customFormat="false" ht="45.75" hidden="false" customHeight="true" outlineLevel="0" collapsed="false">
      <c r="A24" s="11" t="s">
        <v>57</v>
      </c>
      <c r="B24" s="12" t="s">
        <v>58</v>
      </c>
      <c r="C24" s="12" t="s">
        <v>59</v>
      </c>
      <c r="D24" s="13" t="s">
        <v>60</v>
      </c>
      <c r="E24" s="13" t="s">
        <v>61</v>
      </c>
      <c r="F24" s="13" t="s">
        <v>62</v>
      </c>
    </row>
    <row r="25" customFormat="false" ht="45.75" hidden="false" customHeight="true" outlineLevel="0" collapsed="false">
      <c r="A25" s="9" t="s">
        <v>63</v>
      </c>
      <c r="B25" s="5" t="s">
        <v>64</v>
      </c>
      <c r="C25" s="5" t="s">
        <v>65</v>
      </c>
      <c r="D25" s="10" t="s">
        <v>54</v>
      </c>
      <c r="E25" s="10" t="s">
        <v>66</v>
      </c>
      <c r="F25" s="10" t="s">
        <v>67</v>
      </c>
    </row>
    <row r="26" customFormat="false" ht="18" hidden="false" customHeight="true" outlineLevel="0" collapsed="false">
      <c r="A26" s="8" t="s">
        <v>68</v>
      </c>
      <c r="B26" s="8"/>
      <c r="C26" s="8"/>
      <c r="D26" s="8"/>
      <c r="E26" s="8"/>
      <c r="F26" s="8"/>
    </row>
    <row r="27" customFormat="false" ht="45.75" hidden="false" customHeight="true" outlineLevel="0" collapsed="false">
      <c r="A27" s="9" t="s">
        <v>69</v>
      </c>
      <c r="B27" s="5" t="s">
        <v>70</v>
      </c>
      <c r="C27" s="5" t="s">
        <v>71</v>
      </c>
      <c r="D27" s="10" t="s">
        <v>47</v>
      </c>
      <c r="E27" s="10" t="s">
        <v>72</v>
      </c>
      <c r="F27" s="10" t="s">
        <v>73</v>
      </c>
    </row>
    <row r="28" customFormat="false" ht="45.75" hidden="false" customHeight="true" outlineLevel="0" collapsed="false">
      <c r="A28" s="11" t="s">
        <v>74</v>
      </c>
      <c r="B28" s="12" t="s">
        <v>75</v>
      </c>
      <c r="C28" s="12" t="s">
        <v>76</v>
      </c>
      <c r="D28" s="13" t="s">
        <v>47</v>
      </c>
      <c r="E28" s="13" t="s">
        <v>77</v>
      </c>
      <c r="F28" s="13" t="s">
        <v>78</v>
      </c>
    </row>
    <row r="29" customFormat="false" ht="45.75" hidden="false" customHeight="true" outlineLevel="0" collapsed="false">
      <c r="A29" s="9" t="s">
        <v>79</v>
      </c>
      <c r="B29" s="5" t="s">
        <v>80</v>
      </c>
      <c r="C29" s="5" t="s">
        <v>81</v>
      </c>
      <c r="D29" s="10" t="s">
        <v>54</v>
      </c>
      <c r="E29" s="10" t="s">
        <v>82</v>
      </c>
      <c r="F29" s="10" t="s">
        <v>83</v>
      </c>
    </row>
    <row r="30" customFormat="false" ht="18" hidden="false" customHeight="true" outlineLevel="0" collapsed="false">
      <c r="A30" s="8" t="s">
        <v>84</v>
      </c>
      <c r="B30" s="8"/>
      <c r="C30" s="8"/>
      <c r="D30" s="8"/>
      <c r="E30" s="8"/>
      <c r="F30" s="8"/>
    </row>
    <row r="31" customFormat="false" ht="45.75" hidden="false" customHeight="true" outlineLevel="0" collapsed="false">
      <c r="A31" s="9" t="s">
        <v>85</v>
      </c>
      <c r="B31" s="5" t="s">
        <v>86</v>
      </c>
      <c r="C31" s="5" t="s">
        <v>87</v>
      </c>
      <c r="D31" s="10" t="s">
        <v>54</v>
      </c>
      <c r="E31" s="10" t="s">
        <v>88</v>
      </c>
      <c r="F31" s="10" t="s">
        <v>83</v>
      </c>
    </row>
    <row r="32" customFormat="false" ht="45.75" hidden="false" customHeight="true" outlineLevel="0" collapsed="false">
      <c r="A32" s="11" t="s">
        <v>89</v>
      </c>
      <c r="B32" s="12" t="s">
        <v>90</v>
      </c>
      <c r="C32" s="12" t="s">
        <v>91</v>
      </c>
      <c r="D32" s="13" t="s">
        <v>92</v>
      </c>
      <c r="E32" s="13" t="s">
        <v>93</v>
      </c>
      <c r="F32" s="13" t="s">
        <v>94</v>
      </c>
    </row>
    <row r="33" customFormat="false" ht="45.75" hidden="false" customHeight="true" outlineLevel="0" collapsed="false">
      <c r="A33" s="9" t="s">
        <v>95</v>
      </c>
      <c r="B33" s="5" t="s">
        <v>96</v>
      </c>
      <c r="C33" s="5" t="s">
        <v>97</v>
      </c>
      <c r="D33" s="10" t="s">
        <v>47</v>
      </c>
      <c r="E33" s="10" t="s">
        <v>98</v>
      </c>
      <c r="F33" s="10" t="s">
        <v>99</v>
      </c>
    </row>
    <row r="34" customFormat="false" ht="18" hidden="false" customHeight="true" outlineLevel="0" collapsed="false">
      <c r="A34" s="8" t="s">
        <v>100</v>
      </c>
      <c r="B34" s="8"/>
      <c r="C34" s="8"/>
      <c r="D34" s="8"/>
      <c r="E34" s="8"/>
      <c r="F34" s="8"/>
    </row>
    <row r="35" customFormat="false" ht="45.75" hidden="false" customHeight="true" outlineLevel="0" collapsed="false">
      <c r="A35" s="9" t="s">
        <v>101</v>
      </c>
      <c r="B35" s="5" t="s">
        <v>102</v>
      </c>
      <c r="C35" s="5" t="s">
        <v>103</v>
      </c>
      <c r="D35" s="10" t="s">
        <v>54</v>
      </c>
      <c r="E35" s="10" t="s">
        <v>104</v>
      </c>
      <c r="F35" s="10" t="s">
        <v>105</v>
      </c>
    </row>
    <row r="36" customFormat="false" ht="45.75" hidden="false" customHeight="true" outlineLevel="0" collapsed="false">
      <c r="A36" s="11" t="s">
        <v>106</v>
      </c>
      <c r="B36" s="12" t="s">
        <v>107</v>
      </c>
      <c r="C36" s="12" t="s">
        <v>108</v>
      </c>
      <c r="D36" s="13" t="s">
        <v>54</v>
      </c>
      <c r="E36" s="13" t="s">
        <v>109</v>
      </c>
      <c r="F36" s="13" t="s">
        <v>110</v>
      </c>
    </row>
    <row r="37" customFormat="false" ht="18" hidden="false" customHeight="true" outlineLevel="0" collapsed="false">
      <c r="A37" s="8" t="s">
        <v>111</v>
      </c>
      <c r="B37" s="8"/>
      <c r="C37" s="8"/>
      <c r="D37" s="8"/>
      <c r="E37" s="8"/>
      <c r="F37" s="8"/>
    </row>
    <row r="38" customFormat="false" ht="45.75" hidden="false" customHeight="true" outlineLevel="0" collapsed="false">
      <c r="A38" s="9" t="s">
        <v>112</v>
      </c>
      <c r="B38" s="5" t="s">
        <v>113</v>
      </c>
      <c r="C38" s="5" t="s">
        <v>114</v>
      </c>
      <c r="D38" s="10" t="s">
        <v>36</v>
      </c>
      <c r="E38" s="10" t="s">
        <v>115</v>
      </c>
      <c r="F38" s="10" t="s">
        <v>105</v>
      </c>
    </row>
    <row r="39" customFormat="false" ht="45.75" hidden="false" customHeight="true" outlineLevel="0" collapsed="false">
      <c r="A39" s="11" t="s">
        <v>116</v>
      </c>
      <c r="B39" s="12" t="s">
        <v>117</v>
      </c>
      <c r="C39" s="12" t="s">
        <v>118</v>
      </c>
      <c r="D39" s="13" t="s">
        <v>92</v>
      </c>
      <c r="E39" s="13" t="s">
        <v>119</v>
      </c>
      <c r="F39" s="13" t="s">
        <v>120</v>
      </c>
    </row>
    <row r="40" customFormat="false" ht="45.75" hidden="false" customHeight="true" outlineLevel="0" collapsed="false">
      <c r="A40" s="9" t="s">
        <v>121</v>
      </c>
      <c r="B40" s="5" t="s">
        <v>122</v>
      </c>
      <c r="C40" s="5" t="s">
        <v>123</v>
      </c>
      <c r="D40" s="10" t="s">
        <v>47</v>
      </c>
      <c r="E40" s="10" t="s">
        <v>124</v>
      </c>
      <c r="F40" s="10" t="s">
        <v>125</v>
      </c>
    </row>
    <row r="41" customFormat="false" ht="19.5" hidden="false" customHeight="true" outlineLevel="0" collapsed="false">
      <c r="A41" s="3" t="s">
        <v>126</v>
      </c>
      <c r="B41" s="3"/>
      <c r="C41" s="3"/>
      <c r="D41" s="3"/>
      <c r="E41" s="3"/>
      <c r="F41" s="3"/>
    </row>
    <row r="42" customFormat="false" ht="24" hidden="false" customHeight="true" outlineLevel="0" collapsed="false">
      <c r="A42" s="7" t="s">
        <v>26</v>
      </c>
      <c r="B42" s="7" t="s">
        <v>127</v>
      </c>
      <c r="C42" s="7" t="s">
        <v>128</v>
      </c>
      <c r="D42" s="7" t="s">
        <v>129</v>
      </c>
      <c r="E42" s="7" t="s">
        <v>130</v>
      </c>
      <c r="F42" s="7" t="s">
        <v>131</v>
      </c>
    </row>
    <row r="43" customFormat="false" ht="33.75" hidden="false" customHeight="true" outlineLevel="0" collapsed="false">
      <c r="A43" s="9" t="s">
        <v>132</v>
      </c>
      <c r="B43" s="5" t="s">
        <v>133</v>
      </c>
      <c r="C43" s="10" t="s">
        <v>134</v>
      </c>
      <c r="D43" s="5" t="s">
        <v>135</v>
      </c>
      <c r="E43" s="5" t="s">
        <v>136</v>
      </c>
      <c r="F43" s="5" t="s">
        <v>137</v>
      </c>
    </row>
    <row r="44" customFormat="false" ht="33.75" hidden="false" customHeight="true" outlineLevel="0" collapsed="false">
      <c r="A44" s="11" t="s">
        <v>138</v>
      </c>
      <c r="B44" s="12" t="s">
        <v>139</v>
      </c>
      <c r="C44" s="13" t="s">
        <v>140</v>
      </c>
      <c r="D44" s="12" t="s">
        <v>141</v>
      </c>
      <c r="E44" s="12" t="s">
        <v>142</v>
      </c>
      <c r="F44" s="12" t="s">
        <v>143</v>
      </c>
    </row>
    <row r="45" customFormat="false" ht="33.75" hidden="false" customHeight="true" outlineLevel="0" collapsed="false">
      <c r="A45" s="9" t="s">
        <v>144</v>
      </c>
      <c r="B45" s="5" t="s">
        <v>145</v>
      </c>
      <c r="C45" s="10" t="s">
        <v>146</v>
      </c>
      <c r="D45" s="5" t="s">
        <v>147</v>
      </c>
      <c r="E45" s="5" t="s">
        <v>148</v>
      </c>
      <c r="F45" s="5" t="s">
        <v>149</v>
      </c>
    </row>
    <row r="46" customFormat="false" ht="33.75" hidden="false" customHeight="true" outlineLevel="0" collapsed="false">
      <c r="A46" s="11" t="s">
        <v>150</v>
      </c>
      <c r="B46" s="12" t="s">
        <v>151</v>
      </c>
      <c r="C46" s="13" t="s">
        <v>152</v>
      </c>
      <c r="D46" s="12" t="s">
        <v>153</v>
      </c>
      <c r="E46" s="12" t="s">
        <v>154</v>
      </c>
      <c r="F46" s="12" t="s">
        <v>155</v>
      </c>
    </row>
    <row r="47" customFormat="false" ht="33.75" hidden="false" customHeight="true" outlineLevel="0" collapsed="false">
      <c r="A47" s="9" t="s">
        <v>156</v>
      </c>
      <c r="B47" s="5" t="s">
        <v>157</v>
      </c>
      <c r="C47" s="10" t="s">
        <v>158</v>
      </c>
      <c r="D47" s="5" t="s">
        <v>159</v>
      </c>
      <c r="E47" s="5" t="s">
        <v>160</v>
      </c>
      <c r="F47" s="5" t="s">
        <v>161</v>
      </c>
    </row>
    <row r="48" customFormat="false" ht="33.75" hidden="false" customHeight="true" outlineLevel="0" collapsed="false">
      <c r="A48" s="11" t="s">
        <v>162</v>
      </c>
      <c r="B48" s="12" t="s">
        <v>163</v>
      </c>
      <c r="C48" s="13" t="s">
        <v>164</v>
      </c>
      <c r="D48" s="12" t="s">
        <v>165</v>
      </c>
      <c r="E48" s="12" t="s">
        <v>166</v>
      </c>
      <c r="F48" s="12" t="s">
        <v>167</v>
      </c>
    </row>
    <row r="49" customFormat="false" ht="19.5" hidden="false" customHeight="true" outlineLevel="0" collapsed="false">
      <c r="A49" s="3" t="s">
        <v>168</v>
      </c>
      <c r="B49" s="3"/>
      <c r="C49" s="3"/>
      <c r="D49" s="3"/>
      <c r="E49" s="3"/>
      <c r="F49" s="3"/>
    </row>
    <row r="50" customFormat="false" ht="24" hidden="false" customHeight="true" outlineLevel="0" collapsed="false">
      <c r="A50" s="7" t="s">
        <v>169</v>
      </c>
      <c r="B50" s="7"/>
      <c r="C50" s="7"/>
      <c r="D50" s="7" t="s">
        <v>170</v>
      </c>
      <c r="E50" s="7"/>
      <c r="F50" s="7"/>
    </row>
    <row r="51" customFormat="false" ht="30" hidden="false" customHeight="true" outlineLevel="0" collapsed="false">
      <c r="A51" s="5" t="s">
        <v>171</v>
      </c>
      <c r="B51" s="5"/>
      <c r="C51" s="5"/>
      <c r="D51" s="5" t="s">
        <v>172</v>
      </c>
      <c r="E51" s="5"/>
      <c r="F51" s="5"/>
    </row>
    <row r="52" customFormat="false" ht="30" hidden="false" customHeight="true" outlineLevel="0" collapsed="false">
      <c r="A52" s="12" t="s">
        <v>173</v>
      </c>
      <c r="B52" s="12"/>
      <c r="C52" s="12"/>
      <c r="D52" s="12" t="s">
        <v>174</v>
      </c>
      <c r="E52" s="12"/>
      <c r="F52" s="12"/>
    </row>
    <row r="53" customFormat="false" ht="30" hidden="false" customHeight="true" outlineLevel="0" collapsed="false">
      <c r="A53" s="5" t="s">
        <v>175</v>
      </c>
      <c r="B53" s="5"/>
      <c r="C53" s="5"/>
      <c r="D53" s="5" t="s">
        <v>176</v>
      </c>
      <c r="E53" s="5"/>
      <c r="F53" s="5"/>
    </row>
    <row r="54" customFormat="false" ht="30" hidden="false" customHeight="true" outlineLevel="0" collapsed="false">
      <c r="A54" s="12" t="s">
        <v>177</v>
      </c>
      <c r="B54" s="12"/>
      <c r="C54" s="12"/>
      <c r="D54" s="12" t="s">
        <v>178</v>
      </c>
      <c r="E54" s="12"/>
      <c r="F54" s="12"/>
    </row>
    <row r="55" customFormat="false" ht="30" hidden="false" customHeight="true" outlineLevel="0" collapsed="false">
      <c r="A55" s="5" t="s">
        <v>179</v>
      </c>
      <c r="B55" s="5"/>
      <c r="C55" s="5"/>
      <c r="D55" s="5" t="s">
        <v>180</v>
      </c>
      <c r="E55" s="5"/>
      <c r="F55" s="5"/>
    </row>
    <row r="56" customFormat="false" ht="30" hidden="false" customHeight="true" outlineLevel="0" collapsed="false">
      <c r="A56" s="12" t="s">
        <v>181</v>
      </c>
      <c r="B56" s="12"/>
      <c r="C56" s="12"/>
      <c r="D56" s="12" t="s">
        <v>182</v>
      </c>
      <c r="E56" s="12"/>
      <c r="F56" s="12"/>
    </row>
    <row r="57" customFormat="false" ht="30" hidden="false" customHeight="true" outlineLevel="0" collapsed="false">
      <c r="A57" s="5" t="s">
        <v>183</v>
      </c>
      <c r="B57" s="5"/>
      <c r="C57" s="5"/>
      <c r="D57" s="5" t="s">
        <v>184</v>
      </c>
      <c r="E57" s="5"/>
      <c r="F57" s="5"/>
    </row>
    <row r="58" customFormat="false" ht="19.5" hidden="false" customHeight="true" outlineLevel="0" collapsed="false">
      <c r="A58" s="3" t="s">
        <v>185</v>
      </c>
      <c r="B58" s="3"/>
      <c r="C58" s="3"/>
      <c r="D58" s="3"/>
      <c r="E58" s="3"/>
      <c r="F58" s="3"/>
    </row>
    <row r="59" customFormat="false" ht="18" hidden="false" customHeight="true" outlineLevel="0" collapsed="false">
      <c r="A59" s="14" t="s">
        <v>186</v>
      </c>
      <c r="B59" s="14"/>
      <c r="C59" s="14"/>
      <c r="D59" s="14"/>
      <c r="E59" s="14"/>
      <c r="F59" s="14"/>
    </row>
    <row r="60" customFormat="false" ht="24" hidden="false" customHeight="true" outlineLevel="0" collapsed="false">
      <c r="A60" s="7" t="s">
        <v>187</v>
      </c>
      <c r="B60" s="7" t="s">
        <v>188</v>
      </c>
      <c r="C60" s="7" t="s">
        <v>128</v>
      </c>
      <c r="D60" s="7" t="s">
        <v>189</v>
      </c>
      <c r="E60" s="7" t="s">
        <v>190</v>
      </c>
      <c r="F60" s="7" t="s">
        <v>191</v>
      </c>
    </row>
    <row r="61" customFormat="false" ht="43.5" hidden="false" customHeight="true" outlineLevel="0" collapsed="false">
      <c r="A61" s="9" t="s">
        <v>192</v>
      </c>
      <c r="B61" s="5" t="s">
        <v>193</v>
      </c>
      <c r="C61" s="10" t="s">
        <v>158</v>
      </c>
      <c r="D61" s="10" t="s">
        <v>194</v>
      </c>
      <c r="E61" s="5" t="s">
        <v>195</v>
      </c>
      <c r="F61" s="10" t="s">
        <v>196</v>
      </c>
    </row>
    <row r="62" customFormat="false" ht="43.5" hidden="false" customHeight="true" outlineLevel="0" collapsed="false">
      <c r="A62" s="11" t="s">
        <v>197</v>
      </c>
      <c r="B62" s="12" t="s">
        <v>198</v>
      </c>
      <c r="C62" s="13" t="s">
        <v>199</v>
      </c>
      <c r="D62" s="13" t="s">
        <v>194</v>
      </c>
      <c r="E62" s="12" t="s">
        <v>200</v>
      </c>
      <c r="F62" s="13" t="s">
        <v>196</v>
      </c>
    </row>
    <row r="63" customFormat="false" ht="43.5" hidden="false" customHeight="true" outlineLevel="0" collapsed="false">
      <c r="A63" s="9" t="s">
        <v>201</v>
      </c>
      <c r="B63" s="5" t="s">
        <v>202</v>
      </c>
      <c r="C63" s="10" t="s">
        <v>146</v>
      </c>
      <c r="D63" s="10" t="s">
        <v>194</v>
      </c>
      <c r="E63" s="5" t="s">
        <v>203</v>
      </c>
      <c r="F63" s="10" t="s">
        <v>196</v>
      </c>
    </row>
    <row r="64" customFormat="false" ht="43.5" hidden="false" customHeight="true" outlineLevel="0" collapsed="false">
      <c r="A64" s="11" t="s">
        <v>204</v>
      </c>
      <c r="B64" s="12" t="s">
        <v>205</v>
      </c>
      <c r="C64" s="13" t="s">
        <v>158</v>
      </c>
      <c r="D64" s="13" t="s">
        <v>194</v>
      </c>
      <c r="E64" s="12" t="s">
        <v>206</v>
      </c>
      <c r="F64" s="13" t="s">
        <v>196</v>
      </c>
    </row>
    <row r="65" customFormat="false" ht="43.5" hidden="false" customHeight="true" outlineLevel="0" collapsed="false">
      <c r="A65" s="9" t="s">
        <v>207</v>
      </c>
      <c r="B65" s="5" t="s">
        <v>208</v>
      </c>
      <c r="C65" s="10" t="s">
        <v>164</v>
      </c>
      <c r="D65" s="10" t="s">
        <v>194</v>
      </c>
      <c r="E65" s="5" t="s">
        <v>209</v>
      </c>
      <c r="F65" s="10" t="s">
        <v>196</v>
      </c>
    </row>
    <row r="66" customFormat="false" ht="43.5" hidden="false" customHeight="true" outlineLevel="0" collapsed="false">
      <c r="A66" s="11" t="s">
        <v>210</v>
      </c>
      <c r="B66" s="12" t="s">
        <v>211</v>
      </c>
      <c r="C66" s="13" t="s">
        <v>212</v>
      </c>
      <c r="D66" s="13" t="s">
        <v>194</v>
      </c>
      <c r="E66" s="12" t="s">
        <v>213</v>
      </c>
      <c r="F66" s="13" t="s">
        <v>196</v>
      </c>
    </row>
    <row r="67" customFormat="false" ht="19.5" hidden="false" customHeight="true" outlineLevel="0" collapsed="false">
      <c r="A67" s="3" t="s">
        <v>214</v>
      </c>
      <c r="B67" s="3"/>
      <c r="C67" s="3"/>
      <c r="D67" s="3"/>
      <c r="E67" s="3"/>
      <c r="F67" s="3"/>
    </row>
    <row r="68" customFormat="false" ht="24" hidden="false" customHeight="true" outlineLevel="0" collapsed="false">
      <c r="A68" s="14" t="s">
        <v>215</v>
      </c>
      <c r="B68" s="14"/>
      <c r="C68" s="14"/>
      <c r="D68" s="14"/>
      <c r="E68" s="14"/>
      <c r="F68" s="14"/>
    </row>
    <row r="69" customFormat="false" ht="15" hidden="false" customHeight="true" outlineLevel="0" collapsed="false">
      <c r="A69" s="8" t="s">
        <v>216</v>
      </c>
      <c r="B69" s="8"/>
      <c r="C69" s="8" t="s">
        <v>217</v>
      </c>
      <c r="D69" s="8"/>
      <c r="E69" s="7" t="s">
        <v>218</v>
      </c>
      <c r="F69" s="7"/>
    </row>
    <row r="70" customFormat="false" ht="18" hidden="false" customHeight="true" outlineLevel="0" collapsed="false">
      <c r="A70" s="15" t="s">
        <v>219</v>
      </c>
      <c r="B70" s="15"/>
      <c r="C70" s="15"/>
      <c r="D70" s="15"/>
      <c r="E70" s="15"/>
      <c r="F70" s="15"/>
    </row>
    <row r="71" customFormat="false" ht="31.5" hidden="false" customHeight="true" outlineLevel="0" collapsed="false">
      <c r="A71" s="5" t="s">
        <v>220</v>
      </c>
      <c r="B71" s="5"/>
      <c r="C71" s="5" t="s">
        <v>221</v>
      </c>
      <c r="D71" s="5"/>
      <c r="E71" s="10" t="s">
        <v>222</v>
      </c>
      <c r="F71" s="10"/>
    </row>
    <row r="72" customFormat="false" ht="31.5" hidden="false" customHeight="true" outlineLevel="0" collapsed="false">
      <c r="A72" s="12" t="s">
        <v>223</v>
      </c>
      <c r="B72" s="12"/>
      <c r="C72" s="12" t="s">
        <v>224</v>
      </c>
      <c r="D72" s="12"/>
      <c r="E72" s="13" t="s">
        <v>222</v>
      </c>
      <c r="F72" s="13"/>
    </row>
    <row r="73" customFormat="false" ht="18" hidden="false" customHeight="true" outlineLevel="0" collapsed="false">
      <c r="A73" s="15" t="s">
        <v>225</v>
      </c>
      <c r="B73" s="15"/>
      <c r="C73" s="15"/>
      <c r="D73" s="15"/>
      <c r="E73" s="15"/>
      <c r="F73" s="15"/>
    </row>
    <row r="74" customFormat="false" ht="31.5" hidden="false" customHeight="true" outlineLevel="0" collapsed="false">
      <c r="A74" s="5" t="s">
        <v>226</v>
      </c>
      <c r="B74" s="5"/>
      <c r="C74" s="5" t="s">
        <v>227</v>
      </c>
      <c r="D74" s="5"/>
      <c r="E74" s="10" t="s">
        <v>222</v>
      </c>
      <c r="F74" s="10"/>
    </row>
    <row r="75" customFormat="false" ht="31.5" hidden="false" customHeight="true" outlineLevel="0" collapsed="false">
      <c r="A75" s="12" t="s">
        <v>228</v>
      </c>
      <c r="B75" s="12"/>
      <c r="C75" s="12" t="s">
        <v>229</v>
      </c>
      <c r="D75" s="12"/>
      <c r="E75" s="13" t="s">
        <v>230</v>
      </c>
      <c r="F75" s="13"/>
    </row>
    <row r="76" customFormat="false" ht="18" hidden="false" customHeight="true" outlineLevel="0" collapsed="false">
      <c r="A76" s="15" t="s">
        <v>231</v>
      </c>
      <c r="B76" s="15"/>
      <c r="C76" s="15"/>
      <c r="D76" s="15"/>
      <c r="E76" s="15"/>
      <c r="F76" s="15"/>
    </row>
    <row r="77" customFormat="false" ht="31.5" hidden="false" customHeight="true" outlineLevel="0" collapsed="false">
      <c r="A77" s="5" t="s">
        <v>232</v>
      </c>
      <c r="B77" s="5"/>
      <c r="C77" s="5" t="s">
        <v>233</v>
      </c>
      <c r="D77" s="5"/>
      <c r="E77" s="10" t="s">
        <v>234</v>
      </c>
      <c r="F77" s="10"/>
    </row>
    <row r="78" customFormat="false" ht="31.5" hidden="false" customHeight="true" outlineLevel="0" collapsed="false">
      <c r="A78" s="12" t="s">
        <v>235</v>
      </c>
      <c r="B78" s="12"/>
      <c r="C78" s="12" t="s">
        <v>236</v>
      </c>
      <c r="D78" s="12"/>
      <c r="E78" s="13" t="s">
        <v>222</v>
      </c>
      <c r="F78" s="13"/>
    </row>
    <row r="79" customFormat="false" ht="19.5" hidden="false" customHeight="true" outlineLevel="0" collapsed="false">
      <c r="A79" s="3" t="s">
        <v>237</v>
      </c>
      <c r="B79" s="3"/>
      <c r="C79" s="3"/>
      <c r="D79" s="3"/>
      <c r="E79" s="3"/>
      <c r="F79" s="3"/>
    </row>
    <row r="80" customFormat="false" ht="24" hidden="false" customHeight="true" outlineLevel="0" collapsed="false">
      <c r="A80" s="7" t="s">
        <v>238</v>
      </c>
      <c r="B80" s="7" t="s">
        <v>239</v>
      </c>
      <c r="C80" s="7" t="s">
        <v>240</v>
      </c>
      <c r="D80" s="7" t="s">
        <v>241</v>
      </c>
      <c r="E80" s="7" t="s">
        <v>242</v>
      </c>
      <c r="F80" s="7" t="s">
        <v>243</v>
      </c>
    </row>
    <row r="81" customFormat="false" ht="39.75" hidden="false" customHeight="true" outlineLevel="0" collapsed="false">
      <c r="A81" s="9" t="s">
        <v>244</v>
      </c>
      <c r="B81" s="5" t="s">
        <v>245</v>
      </c>
      <c r="C81" s="5" t="s">
        <v>246</v>
      </c>
      <c r="D81" s="5" t="s">
        <v>247</v>
      </c>
      <c r="E81" s="10" t="s">
        <v>49</v>
      </c>
      <c r="F81" s="10" t="s">
        <v>248</v>
      </c>
    </row>
    <row r="82" customFormat="false" ht="39.75" hidden="false" customHeight="true" outlineLevel="0" collapsed="false">
      <c r="A82" s="11" t="s">
        <v>249</v>
      </c>
      <c r="B82" s="12" t="s">
        <v>250</v>
      </c>
      <c r="C82" s="12" t="s">
        <v>251</v>
      </c>
      <c r="D82" s="12" t="s">
        <v>252</v>
      </c>
      <c r="E82" s="13" t="s">
        <v>49</v>
      </c>
      <c r="F82" s="13" t="s">
        <v>253</v>
      </c>
    </row>
    <row r="83" customFormat="false" ht="39.75" hidden="false" customHeight="true" outlineLevel="0" collapsed="false">
      <c r="A83" s="9" t="s">
        <v>254</v>
      </c>
      <c r="B83" s="5" t="s">
        <v>255</v>
      </c>
      <c r="C83" s="5" t="s">
        <v>256</v>
      </c>
      <c r="D83" s="5" t="s">
        <v>257</v>
      </c>
      <c r="E83" s="10" t="s">
        <v>258</v>
      </c>
      <c r="F83" s="10" t="s">
        <v>259</v>
      </c>
    </row>
    <row r="84" customFormat="false" ht="39.75" hidden="false" customHeight="true" outlineLevel="0" collapsed="false">
      <c r="A84" s="11" t="s">
        <v>260</v>
      </c>
      <c r="B84" s="12" t="s">
        <v>261</v>
      </c>
      <c r="C84" s="12" t="s">
        <v>262</v>
      </c>
      <c r="D84" s="12" t="s">
        <v>263</v>
      </c>
      <c r="E84" s="13" t="s">
        <v>264</v>
      </c>
      <c r="F84" s="13" t="s">
        <v>265</v>
      </c>
    </row>
    <row r="85" customFormat="false" ht="19.5" hidden="false" customHeight="true" outlineLevel="0" collapsed="false">
      <c r="A85" s="3" t="s">
        <v>266</v>
      </c>
      <c r="B85" s="3"/>
      <c r="C85" s="3"/>
      <c r="D85" s="3"/>
      <c r="E85" s="3"/>
      <c r="F85" s="3"/>
    </row>
    <row r="86" customFormat="false" ht="18" hidden="false" customHeight="true" outlineLevel="0" collapsed="false">
      <c r="A86" s="4" t="s">
        <v>267</v>
      </c>
      <c r="B86" s="4"/>
      <c r="C86" s="4"/>
      <c r="D86" s="4"/>
      <c r="E86" s="4"/>
      <c r="F86" s="4"/>
    </row>
    <row r="87" customFormat="false" ht="15" hidden="false" customHeight="true" outlineLevel="0" collapsed="false">
      <c r="A87" s="4" t="s">
        <v>268</v>
      </c>
      <c r="B87" s="4"/>
      <c r="C87" s="4" t="s">
        <v>269</v>
      </c>
      <c r="D87" s="4"/>
      <c r="E87" s="4" t="s">
        <v>270</v>
      </c>
      <c r="F87" s="4"/>
    </row>
    <row r="88" customFormat="false" ht="54" hidden="false" customHeight="true" outlineLevel="0" collapsed="false">
      <c r="A88" s="5" t="s">
        <v>271</v>
      </c>
      <c r="B88" s="5"/>
      <c r="C88" s="5" t="s">
        <v>272</v>
      </c>
      <c r="D88" s="5"/>
      <c r="E88" s="5" t="s">
        <v>273</v>
      </c>
      <c r="F88" s="5"/>
    </row>
    <row r="89" customFormat="false" ht="18" hidden="false" customHeight="true" outlineLevel="0" collapsed="false">
      <c r="A89" s="16" t="s">
        <v>274</v>
      </c>
      <c r="B89" s="16"/>
      <c r="C89" s="16"/>
      <c r="D89" s="16"/>
      <c r="E89" s="16"/>
      <c r="F89" s="16"/>
    </row>
  </sheetData>
  <mergeCells count="78">
    <mergeCell ref="A1:F1"/>
    <mergeCell ref="A2:F2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4:F14"/>
    <mergeCell ref="A15:F15"/>
    <mergeCell ref="A16:F16"/>
    <mergeCell ref="A18:F18"/>
    <mergeCell ref="A22:F22"/>
    <mergeCell ref="A26:F26"/>
    <mergeCell ref="A30:F30"/>
    <mergeCell ref="A34:F34"/>
    <mergeCell ref="A37:F37"/>
    <mergeCell ref="A41:F41"/>
    <mergeCell ref="A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F58"/>
    <mergeCell ref="A59:F59"/>
    <mergeCell ref="A67:F67"/>
    <mergeCell ref="A68:F68"/>
    <mergeCell ref="A69:B69"/>
    <mergeCell ref="C69:D69"/>
    <mergeCell ref="E69:F69"/>
    <mergeCell ref="A70:F70"/>
    <mergeCell ref="A71:B71"/>
    <mergeCell ref="C71:D71"/>
    <mergeCell ref="E71:F71"/>
    <mergeCell ref="A72:B72"/>
    <mergeCell ref="C72:D72"/>
    <mergeCell ref="E72:F72"/>
    <mergeCell ref="A73:F73"/>
    <mergeCell ref="A74:B74"/>
    <mergeCell ref="C74:D74"/>
    <mergeCell ref="E74:F74"/>
    <mergeCell ref="A75:B75"/>
    <mergeCell ref="C75:D75"/>
    <mergeCell ref="E75:F75"/>
    <mergeCell ref="A76:F76"/>
    <mergeCell ref="A77:B77"/>
    <mergeCell ref="C77:D77"/>
    <mergeCell ref="E77:F77"/>
    <mergeCell ref="A78:B78"/>
    <mergeCell ref="C78:D78"/>
    <mergeCell ref="E78:F78"/>
    <mergeCell ref="A79:F79"/>
    <mergeCell ref="A85:F85"/>
    <mergeCell ref="A86:F86"/>
    <mergeCell ref="A87:B87"/>
    <mergeCell ref="C87:D87"/>
    <mergeCell ref="E87:F87"/>
    <mergeCell ref="A88:B88"/>
    <mergeCell ref="C88:D88"/>
    <mergeCell ref="E88:F88"/>
    <mergeCell ref="A89:F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37.5" hidden="false" customHeight="true" outlineLevel="0" collapsed="false">
      <c r="A1" s="1" t="s">
        <v>275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276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277</v>
      </c>
      <c r="B3" s="3"/>
      <c r="C3" s="3"/>
      <c r="D3" s="3"/>
      <c r="E3" s="3"/>
      <c r="F3" s="3"/>
    </row>
    <row r="4" customFormat="false" ht="24" hidden="false" customHeight="true" outlineLevel="0" collapsed="false">
      <c r="A4" s="7" t="s">
        <v>26</v>
      </c>
      <c r="B4" s="7" t="s">
        <v>278</v>
      </c>
      <c r="C4" s="7" t="s">
        <v>128</v>
      </c>
      <c r="D4" s="7" t="s">
        <v>189</v>
      </c>
      <c r="E4" s="7" t="s">
        <v>279</v>
      </c>
      <c r="F4" s="7" t="s">
        <v>280</v>
      </c>
    </row>
    <row r="5" customFormat="false" ht="21.75" hidden="false" customHeight="true" outlineLevel="0" collapsed="false">
      <c r="A5" s="9" t="s">
        <v>192</v>
      </c>
      <c r="B5" s="5" t="s">
        <v>193</v>
      </c>
      <c r="C5" s="10" t="s">
        <v>158</v>
      </c>
      <c r="D5" s="10" t="s">
        <v>194</v>
      </c>
      <c r="E5" s="10" t="s">
        <v>194</v>
      </c>
      <c r="F5" s="10" t="s">
        <v>196</v>
      </c>
    </row>
    <row r="6" customFormat="false" ht="21.75" hidden="false" customHeight="true" outlineLevel="0" collapsed="false">
      <c r="A6" s="11" t="s">
        <v>197</v>
      </c>
      <c r="B6" s="12" t="s">
        <v>198</v>
      </c>
      <c r="C6" s="13" t="s">
        <v>199</v>
      </c>
      <c r="D6" s="13" t="s">
        <v>194</v>
      </c>
      <c r="E6" s="13" t="s">
        <v>281</v>
      </c>
      <c r="F6" s="13" t="s">
        <v>196</v>
      </c>
    </row>
    <row r="7" customFormat="false" ht="21.75" hidden="false" customHeight="true" outlineLevel="0" collapsed="false">
      <c r="A7" s="9" t="s">
        <v>201</v>
      </c>
      <c r="B7" s="5" t="s">
        <v>202</v>
      </c>
      <c r="C7" s="10" t="s">
        <v>146</v>
      </c>
      <c r="D7" s="10" t="s">
        <v>194</v>
      </c>
      <c r="E7" s="10" t="s">
        <v>194</v>
      </c>
      <c r="F7" s="10" t="s">
        <v>196</v>
      </c>
    </row>
    <row r="8" customFormat="false" ht="21.75" hidden="false" customHeight="true" outlineLevel="0" collapsed="false">
      <c r="A8" s="11" t="s">
        <v>204</v>
      </c>
      <c r="B8" s="12" t="s">
        <v>205</v>
      </c>
      <c r="C8" s="13" t="s">
        <v>158</v>
      </c>
      <c r="D8" s="13" t="s">
        <v>194</v>
      </c>
      <c r="E8" s="13" t="s">
        <v>194</v>
      </c>
      <c r="F8" s="13" t="s">
        <v>196</v>
      </c>
    </row>
    <row r="9" customFormat="false" ht="21.75" hidden="false" customHeight="true" outlineLevel="0" collapsed="false">
      <c r="A9" s="9" t="s">
        <v>207</v>
      </c>
      <c r="B9" s="5" t="s">
        <v>208</v>
      </c>
      <c r="C9" s="10" t="s">
        <v>164</v>
      </c>
      <c r="D9" s="10" t="s">
        <v>194</v>
      </c>
      <c r="E9" s="10" t="s">
        <v>194</v>
      </c>
      <c r="F9" s="10" t="s">
        <v>196</v>
      </c>
    </row>
    <row r="10" customFormat="false" ht="21.75" hidden="false" customHeight="true" outlineLevel="0" collapsed="false">
      <c r="A10" s="11" t="s">
        <v>210</v>
      </c>
      <c r="B10" s="12" t="s">
        <v>211</v>
      </c>
      <c r="C10" s="13" t="s">
        <v>212</v>
      </c>
      <c r="D10" s="13" t="s">
        <v>194</v>
      </c>
      <c r="E10" s="13" t="s">
        <v>194</v>
      </c>
      <c r="F10" s="13" t="s">
        <v>196</v>
      </c>
    </row>
    <row r="11" customFormat="false" ht="19.5" hidden="false" customHeight="true" outlineLevel="0" collapsed="false">
      <c r="A11" s="10"/>
      <c r="B11" s="9" t="s">
        <v>282</v>
      </c>
      <c r="C11" s="10" t="s">
        <v>283</v>
      </c>
      <c r="D11" s="10" t="s">
        <v>284</v>
      </c>
      <c r="E11" s="10" t="s">
        <v>285</v>
      </c>
      <c r="F11" s="10" t="s">
        <v>286</v>
      </c>
    </row>
    <row r="12" customFormat="false" ht="19.5" hidden="false" customHeight="true" outlineLevel="0" collapsed="false">
      <c r="A12" s="3" t="s">
        <v>287</v>
      </c>
      <c r="B12" s="3"/>
      <c r="C12" s="3"/>
      <c r="D12" s="3"/>
      <c r="E12" s="3"/>
      <c r="F12" s="3"/>
    </row>
    <row r="13" customFormat="false" ht="24" hidden="false" customHeight="true" outlineLevel="0" collapsed="false">
      <c r="A13" s="7" t="s">
        <v>26</v>
      </c>
      <c r="B13" s="7" t="s">
        <v>288</v>
      </c>
      <c r="C13" s="7" t="s">
        <v>289</v>
      </c>
      <c r="D13" s="7" t="s">
        <v>290</v>
      </c>
      <c r="E13" s="7" t="s">
        <v>291</v>
      </c>
      <c r="F13" s="7" t="s">
        <v>292</v>
      </c>
    </row>
    <row r="14" customFormat="false" ht="18" hidden="false" customHeight="true" outlineLevel="0" collapsed="false">
      <c r="A14" s="8" t="s">
        <v>293</v>
      </c>
      <c r="B14" s="8"/>
      <c r="C14" s="8"/>
      <c r="D14" s="8"/>
      <c r="E14" s="8"/>
      <c r="F14" s="8"/>
    </row>
    <row r="15" customFormat="false" ht="57.75" hidden="false" customHeight="true" outlineLevel="0" collapsed="false">
      <c r="A15" s="9" t="s">
        <v>33</v>
      </c>
      <c r="B15" s="17" t="s">
        <v>294</v>
      </c>
      <c r="C15" s="18" t="s">
        <v>295</v>
      </c>
      <c r="D15" s="19" t="s">
        <v>296</v>
      </c>
      <c r="E15" s="20" t="s">
        <v>297</v>
      </c>
      <c r="F15" s="21" t="s">
        <v>298</v>
      </c>
    </row>
    <row r="16" customFormat="false" ht="57.75" hidden="false" customHeight="true" outlineLevel="0" collapsed="false">
      <c r="A16" s="11" t="s">
        <v>39</v>
      </c>
      <c r="B16" s="22" t="s">
        <v>299</v>
      </c>
      <c r="C16" s="18" t="s">
        <v>300</v>
      </c>
      <c r="D16" s="19" t="s">
        <v>301</v>
      </c>
      <c r="E16" s="20" t="s">
        <v>302</v>
      </c>
      <c r="F16" s="21" t="s">
        <v>303</v>
      </c>
    </row>
    <row r="17" customFormat="false" ht="57.75" hidden="false" customHeight="true" outlineLevel="0" collapsed="false">
      <c r="A17" s="9" t="s">
        <v>44</v>
      </c>
      <c r="B17" s="17" t="s">
        <v>304</v>
      </c>
      <c r="C17" s="18" t="s">
        <v>305</v>
      </c>
      <c r="D17" s="19" t="s">
        <v>306</v>
      </c>
      <c r="E17" s="20" t="s">
        <v>307</v>
      </c>
      <c r="F17" s="21" t="s">
        <v>308</v>
      </c>
    </row>
    <row r="18" customFormat="false" ht="18" hidden="false" customHeight="true" outlineLevel="0" collapsed="false">
      <c r="A18" s="8" t="s">
        <v>309</v>
      </c>
      <c r="B18" s="8"/>
      <c r="C18" s="8"/>
      <c r="D18" s="8"/>
      <c r="E18" s="8"/>
      <c r="F18" s="8"/>
    </row>
    <row r="19" customFormat="false" ht="57.75" hidden="false" customHeight="true" outlineLevel="0" collapsed="false">
      <c r="A19" s="9" t="s">
        <v>51</v>
      </c>
      <c r="B19" s="17" t="s">
        <v>310</v>
      </c>
      <c r="C19" s="18" t="s">
        <v>311</v>
      </c>
      <c r="D19" s="19" t="s">
        <v>312</v>
      </c>
      <c r="E19" s="20" t="s">
        <v>313</v>
      </c>
      <c r="F19" s="21" t="s">
        <v>314</v>
      </c>
    </row>
    <row r="20" customFormat="false" ht="57.75" hidden="false" customHeight="true" outlineLevel="0" collapsed="false">
      <c r="A20" s="11" t="s">
        <v>57</v>
      </c>
      <c r="B20" s="22" t="s">
        <v>315</v>
      </c>
      <c r="C20" s="18" t="s">
        <v>316</v>
      </c>
      <c r="D20" s="19" t="s">
        <v>317</v>
      </c>
      <c r="E20" s="20" t="s">
        <v>318</v>
      </c>
      <c r="F20" s="21" t="s">
        <v>319</v>
      </c>
    </row>
    <row r="21" customFormat="false" ht="57.75" hidden="false" customHeight="true" outlineLevel="0" collapsed="false">
      <c r="A21" s="9" t="s">
        <v>63</v>
      </c>
      <c r="B21" s="17" t="s">
        <v>320</v>
      </c>
      <c r="C21" s="18" t="s">
        <v>321</v>
      </c>
      <c r="D21" s="19" t="s">
        <v>322</v>
      </c>
      <c r="E21" s="20" t="s">
        <v>323</v>
      </c>
      <c r="F21" s="21" t="s">
        <v>324</v>
      </c>
    </row>
    <row r="22" customFormat="false" ht="18" hidden="false" customHeight="true" outlineLevel="0" collapsed="false">
      <c r="A22" s="8" t="s">
        <v>325</v>
      </c>
      <c r="B22" s="8"/>
      <c r="C22" s="8"/>
      <c r="D22" s="8"/>
      <c r="E22" s="8"/>
      <c r="F22" s="8"/>
    </row>
    <row r="23" customFormat="false" ht="57.75" hidden="false" customHeight="true" outlineLevel="0" collapsed="false">
      <c r="A23" s="9" t="s">
        <v>69</v>
      </c>
      <c r="B23" s="17" t="s">
        <v>326</v>
      </c>
      <c r="C23" s="18" t="s">
        <v>327</v>
      </c>
      <c r="D23" s="19" t="s">
        <v>328</v>
      </c>
      <c r="E23" s="20" t="s">
        <v>329</v>
      </c>
      <c r="F23" s="21" t="s">
        <v>330</v>
      </c>
    </row>
    <row r="24" customFormat="false" ht="57.75" hidden="false" customHeight="true" outlineLevel="0" collapsed="false">
      <c r="A24" s="11" t="s">
        <v>74</v>
      </c>
      <c r="B24" s="22" t="s">
        <v>331</v>
      </c>
      <c r="C24" s="18" t="s">
        <v>332</v>
      </c>
      <c r="D24" s="19" t="s">
        <v>333</v>
      </c>
      <c r="E24" s="20" t="s">
        <v>334</v>
      </c>
      <c r="F24" s="21" t="s">
        <v>335</v>
      </c>
    </row>
    <row r="25" customFormat="false" ht="57.75" hidden="false" customHeight="true" outlineLevel="0" collapsed="false">
      <c r="A25" s="9" t="s">
        <v>79</v>
      </c>
      <c r="B25" s="17" t="s">
        <v>336</v>
      </c>
      <c r="C25" s="18" t="s">
        <v>337</v>
      </c>
      <c r="D25" s="19" t="s">
        <v>338</v>
      </c>
      <c r="E25" s="20" t="s">
        <v>339</v>
      </c>
      <c r="F25" s="21" t="s">
        <v>340</v>
      </c>
    </row>
    <row r="26" customFormat="false" ht="18" hidden="false" customHeight="true" outlineLevel="0" collapsed="false">
      <c r="A26" s="8" t="s">
        <v>341</v>
      </c>
      <c r="B26" s="8"/>
      <c r="C26" s="8"/>
      <c r="D26" s="8"/>
      <c r="E26" s="8"/>
      <c r="F26" s="8"/>
    </row>
    <row r="27" customFormat="false" ht="57.75" hidden="false" customHeight="true" outlineLevel="0" collapsed="false">
      <c r="A27" s="9" t="s">
        <v>85</v>
      </c>
      <c r="B27" s="17" t="s">
        <v>342</v>
      </c>
      <c r="C27" s="18" t="s">
        <v>343</v>
      </c>
      <c r="D27" s="19" t="s">
        <v>344</v>
      </c>
      <c r="E27" s="20" t="s">
        <v>345</v>
      </c>
      <c r="F27" s="21" t="s">
        <v>346</v>
      </c>
    </row>
    <row r="28" customFormat="false" ht="57.75" hidden="false" customHeight="true" outlineLevel="0" collapsed="false">
      <c r="A28" s="11" t="s">
        <v>89</v>
      </c>
      <c r="B28" s="22" t="s">
        <v>347</v>
      </c>
      <c r="C28" s="18" t="s">
        <v>348</v>
      </c>
      <c r="D28" s="19" t="s">
        <v>349</v>
      </c>
      <c r="E28" s="20" t="s">
        <v>350</v>
      </c>
      <c r="F28" s="21" t="s">
        <v>351</v>
      </c>
    </row>
    <row r="29" customFormat="false" ht="57.75" hidden="false" customHeight="true" outlineLevel="0" collapsed="false">
      <c r="A29" s="9" t="s">
        <v>95</v>
      </c>
      <c r="B29" s="17" t="s">
        <v>352</v>
      </c>
      <c r="C29" s="18" t="s">
        <v>353</v>
      </c>
      <c r="D29" s="19" t="s">
        <v>354</v>
      </c>
      <c r="E29" s="20" t="s">
        <v>355</v>
      </c>
      <c r="F29" s="21" t="s">
        <v>356</v>
      </c>
    </row>
    <row r="30" customFormat="false" ht="18" hidden="false" customHeight="true" outlineLevel="0" collapsed="false">
      <c r="A30" s="8" t="s">
        <v>357</v>
      </c>
      <c r="B30" s="8"/>
      <c r="C30" s="8"/>
      <c r="D30" s="8"/>
      <c r="E30" s="8"/>
      <c r="F30" s="8"/>
    </row>
    <row r="31" customFormat="false" ht="57.75" hidden="false" customHeight="true" outlineLevel="0" collapsed="false">
      <c r="A31" s="9" t="s">
        <v>101</v>
      </c>
      <c r="B31" s="17" t="s">
        <v>358</v>
      </c>
      <c r="C31" s="18" t="s">
        <v>359</v>
      </c>
      <c r="D31" s="19" t="s">
        <v>360</v>
      </c>
      <c r="E31" s="20" t="s">
        <v>361</v>
      </c>
      <c r="F31" s="21" t="s">
        <v>362</v>
      </c>
    </row>
    <row r="32" customFormat="false" ht="57.75" hidden="false" customHeight="true" outlineLevel="0" collapsed="false">
      <c r="A32" s="11" t="s">
        <v>106</v>
      </c>
      <c r="B32" s="22" t="s">
        <v>363</v>
      </c>
      <c r="C32" s="18" t="s">
        <v>364</v>
      </c>
      <c r="D32" s="19" t="s">
        <v>365</v>
      </c>
      <c r="E32" s="20" t="s">
        <v>366</v>
      </c>
      <c r="F32" s="21" t="s">
        <v>367</v>
      </c>
    </row>
    <row r="33" customFormat="false" ht="18" hidden="false" customHeight="true" outlineLevel="0" collapsed="false">
      <c r="A33" s="8" t="s">
        <v>368</v>
      </c>
      <c r="B33" s="8"/>
      <c r="C33" s="8"/>
      <c r="D33" s="8"/>
      <c r="E33" s="8"/>
      <c r="F33" s="8"/>
    </row>
    <row r="34" customFormat="false" ht="57.75" hidden="false" customHeight="true" outlineLevel="0" collapsed="false">
      <c r="A34" s="9" t="s">
        <v>112</v>
      </c>
      <c r="B34" s="17" t="s">
        <v>369</v>
      </c>
      <c r="C34" s="18" t="s">
        <v>370</v>
      </c>
      <c r="D34" s="19" t="s">
        <v>371</v>
      </c>
      <c r="E34" s="20" t="s">
        <v>372</v>
      </c>
      <c r="F34" s="21" t="s">
        <v>373</v>
      </c>
    </row>
    <row r="35" customFormat="false" ht="57.75" hidden="false" customHeight="true" outlineLevel="0" collapsed="false">
      <c r="A35" s="11" t="s">
        <v>116</v>
      </c>
      <c r="B35" s="22" t="s">
        <v>374</v>
      </c>
      <c r="C35" s="18" t="s">
        <v>375</v>
      </c>
      <c r="D35" s="19" t="s">
        <v>376</v>
      </c>
      <c r="E35" s="20" t="s">
        <v>377</v>
      </c>
      <c r="F35" s="21" t="s">
        <v>378</v>
      </c>
    </row>
  </sheetData>
  <mergeCells count="10">
    <mergeCell ref="A1:F1"/>
    <mergeCell ref="A2:F2"/>
    <mergeCell ref="A3:F3"/>
    <mergeCell ref="A12:F12"/>
    <mergeCell ref="A14:F14"/>
    <mergeCell ref="A18:F18"/>
    <mergeCell ref="A22:F22"/>
    <mergeCell ref="A26:F26"/>
    <mergeCell ref="A30:F30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37.5" hidden="false" customHeight="true" outlineLevel="0" collapsed="false">
      <c r="A1" s="1" t="s">
        <v>379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380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381</v>
      </c>
      <c r="B3" s="3"/>
      <c r="C3" s="3"/>
      <c r="D3" s="3"/>
      <c r="E3" s="3"/>
    </row>
    <row r="4" customFormat="false" ht="18" hidden="false" customHeight="true" outlineLevel="0" collapsed="false">
      <c r="A4" s="5" t="s">
        <v>382</v>
      </c>
      <c r="B4" s="5"/>
      <c r="C4" s="5"/>
      <c r="D4" s="5"/>
      <c r="E4" s="5"/>
    </row>
    <row r="5" customFormat="false" ht="18" hidden="false" customHeight="true" outlineLevel="0" collapsed="false">
      <c r="A5" s="5" t="s">
        <v>383</v>
      </c>
      <c r="B5" s="5"/>
      <c r="C5" s="5"/>
      <c r="D5" s="5"/>
      <c r="E5" s="5"/>
    </row>
    <row r="6" customFormat="false" ht="18" hidden="false" customHeight="true" outlineLevel="0" collapsed="false">
      <c r="A6" s="5" t="s">
        <v>384</v>
      </c>
      <c r="B6" s="5"/>
      <c r="C6" s="5"/>
      <c r="D6" s="5"/>
      <c r="E6" s="5"/>
    </row>
    <row r="7" customFormat="false" ht="18" hidden="false" customHeight="true" outlineLevel="0" collapsed="false">
      <c r="A7" s="5" t="s">
        <v>385</v>
      </c>
      <c r="B7" s="5"/>
      <c r="C7" s="5"/>
      <c r="D7" s="5"/>
      <c r="E7" s="5"/>
    </row>
    <row r="8" customFormat="false" ht="19.5" hidden="false" customHeight="true" outlineLevel="0" collapsed="false">
      <c r="A8" s="14" t="s">
        <v>386</v>
      </c>
      <c r="B8" s="14"/>
      <c r="C8" s="14"/>
      <c r="D8" s="14"/>
      <c r="E8" s="14"/>
    </row>
    <row r="9" customFormat="false" ht="24" hidden="false" customHeight="true" outlineLevel="0" collapsed="false">
      <c r="A9" s="7" t="s">
        <v>26</v>
      </c>
      <c r="B9" s="7" t="s">
        <v>387</v>
      </c>
      <c r="C9" s="7" t="s">
        <v>388</v>
      </c>
      <c r="D9" s="7" t="s">
        <v>389</v>
      </c>
      <c r="E9" s="7" t="s">
        <v>390</v>
      </c>
    </row>
    <row r="10" customFormat="false" ht="18" hidden="false" customHeight="true" outlineLevel="0" collapsed="false">
      <c r="A10" s="8" t="s">
        <v>391</v>
      </c>
      <c r="B10" s="8"/>
      <c r="C10" s="8"/>
      <c r="D10" s="8"/>
      <c r="E10" s="8"/>
    </row>
    <row r="11" customFormat="false" ht="30" hidden="false" customHeight="true" outlineLevel="0" collapsed="false">
      <c r="A11" s="9" t="s">
        <v>33</v>
      </c>
      <c r="B11" s="5" t="s">
        <v>392</v>
      </c>
      <c r="C11" s="5"/>
      <c r="D11" s="10"/>
      <c r="E11" s="5"/>
    </row>
    <row r="12" customFormat="false" ht="30" hidden="false" customHeight="true" outlineLevel="0" collapsed="false">
      <c r="A12" s="11" t="s">
        <v>39</v>
      </c>
      <c r="B12" s="12" t="s">
        <v>393</v>
      </c>
      <c r="C12" s="12"/>
      <c r="D12" s="13"/>
      <c r="E12" s="12"/>
    </row>
    <row r="13" customFormat="false" ht="30" hidden="false" customHeight="true" outlineLevel="0" collapsed="false">
      <c r="A13" s="9" t="s">
        <v>44</v>
      </c>
      <c r="B13" s="5" t="s">
        <v>394</v>
      </c>
      <c r="C13" s="5"/>
      <c r="D13" s="10"/>
      <c r="E13" s="5"/>
    </row>
    <row r="14" customFormat="false" ht="19.5" hidden="false" customHeight="true" outlineLevel="0" collapsed="false">
      <c r="A14" s="11" t="s">
        <v>395</v>
      </c>
      <c r="B14" s="22" t="s">
        <v>396</v>
      </c>
      <c r="C14" s="13"/>
      <c r="D14" s="11" t="s">
        <v>397</v>
      </c>
      <c r="E14" s="12"/>
    </row>
    <row r="15" customFormat="false" ht="18" hidden="false" customHeight="true" outlineLevel="0" collapsed="false">
      <c r="A15" s="8" t="s">
        <v>398</v>
      </c>
      <c r="B15" s="8"/>
      <c r="C15" s="8"/>
      <c r="D15" s="8"/>
      <c r="E15" s="8"/>
    </row>
    <row r="16" customFormat="false" ht="30" hidden="false" customHeight="true" outlineLevel="0" collapsed="false">
      <c r="A16" s="9" t="s">
        <v>51</v>
      </c>
      <c r="B16" s="5" t="s">
        <v>399</v>
      </c>
      <c r="C16" s="5"/>
      <c r="D16" s="10"/>
      <c r="E16" s="5"/>
    </row>
    <row r="17" customFormat="false" ht="30" hidden="false" customHeight="true" outlineLevel="0" collapsed="false">
      <c r="A17" s="11" t="s">
        <v>57</v>
      </c>
      <c r="B17" s="12" t="s">
        <v>400</v>
      </c>
      <c r="C17" s="12"/>
      <c r="D17" s="13"/>
      <c r="E17" s="12"/>
    </row>
    <row r="18" customFormat="false" ht="30" hidden="false" customHeight="true" outlineLevel="0" collapsed="false">
      <c r="A18" s="9" t="s">
        <v>63</v>
      </c>
      <c r="B18" s="5" t="s">
        <v>401</v>
      </c>
      <c r="C18" s="5"/>
      <c r="D18" s="10"/>
      <c r="E18" s="5"/>
    </row>
    <row r="19" customFormat="false" ht="19.5" hidden="false" customHeight="true" outlineLevel="0" collapsed="false">
      <c r="A19" s="11" t="s">
        <v>395</v>
      </c>
      <c r="B19" s="22" t="s">
        <v>402</v>
      </c>
      <c r="C19" s="13"/>
      <c r="D19" s="11" t="s">
        <v>397</v>
      </c>
      <c r="E19" s="12"/>
    </row>
    <row r="20" customFormat="false" ht="18" hidden="false" customHeight="true" outlineLevel="0" collapsed="false">
      <c r="A20" s="8" t="s">
        <v>403</v>
      </c>
      <c r="B20" s="8"/>
      <c r="C20" s="8"/>
      <c r="D20" s="8"/>
      <c r="E20" s="8"/>
    </row>
    <row r="21" customFormat="false" ht="30" hidden="false" customHeight="true" outlineLevel="0" collapsed="false">
      <c r="A21" s="9" t="s">
        <v>69</v>
      </c>
      <c r="B21" s="5" t="s">
        <v>404</v>
      </c>
      <c r="C21" s="5"/>
      <c r="D21" s="10"/>
      <c r="E21" s="5"/>
    </row>
    <row r="22" customFormat="false" ht="30" hidden="false" customHeight="true" outlineLevel="0" collapsed="false">
      <c r="A22" s="11" t="s">
        <v>74</v>
      </c>
      <c r="B22" s="12" t="s">
        <v>405</v>
      </c>
      <c r="C22" s="12"/>
      <c r="D22" s="13"/>
      <c r="E22" s="12"/>
    </row>
    <row r="23" customFormat="false" ht="30" hidden="false" customHeight="true" outlineLevel="0" collapsed="false">
      <c r="A23" s="9" t="s">
        <v>79</v>
      </c>
      <c r="B23" s="5" t="s">
        <v>406</v>
      </c>
      <c r="C23" s="5"/>
      <c r="D23" s="10"/>
      <c r="E23" s="5"/>
    </row>
    <row r="24" customFormat="false" ht="19.5" hidden="false" customHeight="true" outlineLevel="0" collapsed="false">
      <c r="A24" s="11" t="s">
        <v>395</v>
      </c>
      <c r="B24" s="22" t="s">
        <v>407</v>
      </c>
      <c r="C24" s="13"/>
      <c r="D24" s="11" t="s">
        <v>397</v>
      </c>
      <c r="E24" s="12"/>
    </row>
    <row r="25" customFormat="false" ht="18" hidden="false" customHeight="true" outlineLevel="0" collapsed="false">
      <c r="A25" s="8" t="s">
        <v>408</v>
      </c>
      <c r="B25" s="8"/>
      <c r="C25" s="8"/>
      <c r="D25" s="8"/>
      <c r="E25" s="8"/>
    </row>
    <row r="26" customFormat="false" ht="30" hidden="false" customHeight="true" outlineLevel="0" collapsed="false">
      <c r="A26" s="9" t="s">
        <v>85</v>
      </c>
      <c r="B26" s="5" t="s">
        <v>409</v>
      </c>
      <c r="C26" s="5"/>
      <c r="D26" s="10"/>
      <c r="E26" s="5"/>
    </row>
    <row r="27" customFormat="false" ht="30" hidden="false" customHeight="true" outlineLevel="0" collapsed="false">
      <c r="A27" s="11" t="s">
        <v>89</v>
      </c>
      <c r="B27" s="12" t="s">
        <v>410</v>
      </c>
      <c r="C27" s="12"/>
      <c r="D27" s="13"/>
      <c r="E27" s="12"/>
    </row>
    <row r="28" customFormat="false" ht="30" hidden="false" customHeight="true" outlineLevel="0" collapsed="false">
      <c r="A28" s="9" t="s">
        <v>95</v>
      </c>
      <c r="B28" s="5" t="s">
        <v>411</v>
      </c>
      <c r="C28" s="5"/>
      <c r="D28" s="10"/>
      <c r="E28" s="5"/>
    </row>
    <row r="29" customFormat="false" ht="19.5" hidden="false" customHeight="true" outlineLevel="0" collapsed="false">
      <c r="A29" s="11" t="s">
        <v>395</v>
      </c>
      <c r="B29" s="22" t="s">
        <v>412</v>
      </c>
      <c r="C29" s="13"/>
      <c r="D29" s="11" t="s">
        <v>397</v>
      </c>
      <c r="E29" s="12"/>
    </row>
    <row r="30" customFormat="false" ht="18" hidden="false" customHeight="true" outlineLevel="0" collapsed="false">
      <c r="A30" s="8" t="s">
        <v>413</v>
      </c>
      <c r="B30" s="8"/>
      <c r="C30" s="8"/>
      <c r="D30" s="8"/>
      <c r="E30" s="8"/>
    </row>
    <row r="31" customFormat="false" ht="30" hidden="false" customHeight="true" outlineLevel="0" collapsed="false">
      <c r="A31" s="9" t="s">
        <v>101</v>
      </c>
      <c r="B31" s="5" t="s">
        <v>414</v>
      </c>
      <c r="C31" s="5"/>
      <c r="D31" s="10"/>
      <c r="E31" s="5"/>
    </row>
    <row r="32" customFormat="false" ht="30" hidden="false" customHeight="true" outlineLevel="0" collapsed="false">
      <c r="A32" s="11" t="s">
        <v>106</v>
      </c>
      <c r="B32" s="12" t="s">
        <v>415</v>
      </c>
      <c r="C32" s="12"/>
      <c r="D32" s="13"/>
      <c r="E32" s="12"/>
    </row>
    <row r="33" customFormat="false" ht="19.5" hidden="false" customHeight="true" outlineLevel="0" collapsed="false">
      <c r="A33" s="11" t="s">
        <v>395</v>
      </c>
      <c r="B33" s="22" t="s">
        <v>416</v>
      </c>
      <c r="C33" s="13"/>
      <c r="D33" s="11" t="s">
        <v>397</v>
      </c>
      <c r="E33" s="12"/>
    </row>
    <row r="34" customFormat="false" ht="18" hidden="false" customHeight="true" outlineLevel="0" collapsed="false">
      <c r="A34" s="8" t="s">
        <v>417</v>
      </c>
      <c r="B34" s="8"/>
      <c r="C34" s="8"/>
      <c r="D34" s="8"/>
      <c r="E34" s="8"/>
    </row>
    <row r="35" customFormat="false" ht="30" hidden="false" customHeight="true" outlineLevel="0" collapsed="false">
      <c r="A35" s="9" t="s">
        <v>112</v>
      </c>
      <c r="B35" s="5" t="s">
        <v>418</v>
      </c>
      <c r="C35" s="5"/>
      <c r="D35" s="10"/>
      <c r="E35" s="5"/>
    </row>
    <row r="36" customFormat="false" ht="30" hidden="false" customHeight="true" outlineLevel="0" collapsed="false">
      <c r="A36" s="11" t="s">
        <v>116</v>
      </c>
      <c r="B36" s="12" t="s">
        <v>419</v>
      </c>
      <c r="C36" s="12"/>
      <c r="D36" s="13"/>
      <c r="E36" s="12"/>
    </row>
    <row r="37" customFormat="false" ht="19.5" hidden="false" customHeight="true" outlineLevel="0" collapsed="false">
      <c r="A37" s="11" t="s">
        <v>395</v>
      </c>
      <c r="B37" s="22" t="s">
        <v>420</v>
      </c>
      <c r="C37" s="13"/>
      <c r="D37" s="11" t="s">
        <v>397</v>
      </c>
      <c r="E37" s="12"/>
    </row>
    <row r="38" customFormat="false" ht="19.5" hidden="false" customHeight="true" outlineLevel="0" collapsed="false">
      <c r="A38" s="3" t="s">
        <v>421</v>
      </c>
      <c r="B38" s="3"/>
      <c r="C38" s="3"/>
      <c r="D38" s="3"/>
      <c r="E38" s="3"/>
    </row>
    <row r="39" customFormat="false" ht="19.5" hidden="false" customHeight="true" outlineLevel="0" collapsed="false">
      <c r="A39" s="23" t="s">
        <v>422</v>
      </c>
      <c r="B39" s="23"/>
      <c r="C39" s="23"/>
      <c r="D39" s="23"/>
      <c r="E39" s="23"/>
    </row>
    <row r="40" customFormat="false" ht="18" hidden="false" customHeight="true" outlineLevel="0" collapsed="false">
      <c r="A40" s="5" t="s">
        <v>423</v>
      </c>
      <c r="B40" s="5"/>
      <c r="C40" s="5"/>
      <c r="D40" s="5"/>
      <c r="E40" s="5"/>
    </row>
    <row r="41" customFormat="false" ht="21.75" hidden="false" customHeight="true" outlineLevel="0" collapsed="false">
      <c r="A41" s="5" t="s">
        <v>424</v>
      </c>
      <c r="B41" s="5"/>
      <c r="C41" s="5"/>
      <c r="D41" s="5"/>
      <c r="E41" s="5"/>
    </row>
    <row r="42" customFormat="false" ht="21.75" hidden="false" customHeight="true" outlineLevel="0" collapsed="false">
      <c r="A42" s="5" t="s">
        <v>425</v>
      </c>
      <c r="B42" s="5"/>
      <c r="C42" s="5"/>
      <c r="D42" s="5"/>
      <c r="E42" s="5"/>
    </row>
    <row r="43" customFormat="false" ht="21.75" hidden="false" customHeight="true" outlineLevel="0" collapsed="false">
      <c r="A43" s="5" t="s">
        <v>426</v>
      </c>
      <c r="B43" s="5"/>
      <c r="C43" s="5"/>
      <c r="D43" s="5"/>
      <c r="E43" s="5"/>
    </row>
    <row r="44" customFormat="false" ht="19.5" hidden="false" customHeight="true" outlineLevel="0" collapsed="false">
      <c r="A44" s="16" t="s">
        <v>427</v>
      </c>
      <c r="B44" s="16"/>
      <c r="C44" s="16"/>
      <c r="D44" s="16"/>
      <c r="E44" s="16"/>
    </row>
  </sheetData>
  <mergeCells count="21">
    <mergeCell ref="A1:E1"/>
    <mergeCell ref="A2:E2"/>
    <mergeCell ref="A3:E3"/>
    <mergeCell ref="A4:E4"/>
    <mergeCell ref="A5:E5"/>
    <mergeCell ref="A6:E6"/>
    <mergeCell ref="A7:E7"/>
    <mergeCell ref="A8:E8"/>
    <mergeCell ref="A10:E10"/>
    <mergeCell ref="A15:E15"/>
    <mergeCell ref="A20:E20"/>
    <mergeCell ref="A25:E25"/>
    <mergeCell ref="A30:E30"/>
    <mergeCell ref="A34:E34"/>
    <mergeCell ref="A38:E38"/>
    <mergeCell ref="A39:E39"/>
    <mergeCell ref="A40:E40"/>
    <mergeCell ref="A41:E41"/>
    <mergeCell ref="A42:E42"/>
    <mergeCell ref="A43:E43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7.5" hidden="false" customHeight="true" outlineLevel="0" collapsed="false">
      <c r="A1" s="1" t="s">
        <v>428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429</v>
      </c>
      <c r="B2" s="2"/>
      <c r="C2" s="2"/>
      <c r="D2" s="2"/>
      <c r="E2" s="2"/>
    </row>
    <row r="3" customFormat="false" ht="39.75" hidden="false" customHeight="true" outlineLevel="0" collapsed="false">
      <c r="A3" s="6" t="s">
        <v>430</v>
      </c>
      <c r="B3" s="6"/>
      <c r="C3" s="6"/>
      <c r="D3" s="6"/>
      <c r="E3" s="6"/>
    </row>
    <row r="4" customFormat="false" ht="24" hidden="false" customHeight="true" outlineLevel="0" collapsed="false">
      <c r="A4" s="7" t="s">
        <v>26</v>
      </c>
      <c r="B4" s="7" t="s">
        <v>431</v>
      </c>
      <c r="C4" s="7" t="s">
        <v>432</v>
      </c>
      <c r="D4" s="7" t="s">
        <v>433</v>
      </c>
      <c r="E4" s="7" t="s">
        <v>434</v>
      </c>
    </row>
    <row r="5" customFormat="false" ht="18" hidden="false" customHeight="true" outlineLevel="0" collapsed="false">
      <c r="A5" s="8" t="s">
        <v>435</v>
      </c>
      <c r="B5" s="8"/>
      <c r="C5" s="8"/>
      <c r="D5" s="8"/>
      <c r="E5" s="8"/>
    </row>
    <row r="6" customFormat="false" ht="72" hidden="false" customHeight="true" outlineLevel="0" collapsed="false">
      <c r="A6" s="9" t="s">
        <v>132</v>
      </c>
      <c r="B6" s="5" t="s">
        <v>436</v>
      </c>
      <c r="C6" s="5" t="s">
        <v>437</v>
      </c>
      <c r="D6" s="10"/>
      <c r="E6" s="5"/>
    </row>
    <row r="7" customFormat="false" ht="72" hidden="false" customHeight="true" outlineLevel="0" collapsed="false">
      <c r="A7" s="11" t="s">
        <v>138</v>
      </c>
      <c r="B7" s="12" t="s">
        <v>438</v>
      </c>
      <c r="C7" s="12" t="s">
        <v>439</v>
      </c>
      <c r="D7" s="13"/>
      <c r="E7" s="12"/>
    </row>
    <row r="8" customFormat="false" ht="18" hidden="false" customHeight="true" outlineLevel="0" collapsed="false">
      <c r="A8" s="8" t="s">
        <v>440</v>
      </c>
      <c r="B8" s="8"/>
      <c r="C8" s="8"/>
      <c r="D8" s="8"/>
      <c r="E8" s="8"/>
    </row>
    <row r="9" customFormat="false" ht="72" hidden="false" customHeight="true" outlineLevel="0" collapsed="false">
      <c r="A9" s="9" t="s">
        <v>144</v>
      </c>
      <c r="B9" s="5" t="s">
        <v>441</v>
      </c>
      <c r="C9" s="5" t="s">
        <v>442</v>
      </c>
      <c r="D9" s="10"/>
      <c r="E9" s="5"/>
    </row>
    <row r="10" customFormat="false" ht="72" hidden="false" customHeight="true" outlineLevel="0" collapsed="false">
      <c r="A10" s="11" t="s">
        <v>150</v>
      </c>
      <c r="B10" s="12" t="s">
        <v>443</v>
      </c>
      <c r="C10" s="12" t="s">
        <v>444</v>
      </c>
      <c r="D10" s="13"/>
      <c r="E10" s="12"/>
    </row>
    <row r="11" customFormat="false" ht="18" hidden="false" customHeight="true" outlineLevel="0" collapsed="false">
      <c r="A11" s="8" t="s">
        <v>445</v>
      </c>
      <c r="B11" s="8"/>
      <c r="C11" s="8"/>
      <c r="D11" s="8"/>
      <c r="E11" s="8"/>
    </row>
    <row r="12" customFormat="false" ht="72" hidden="false" customHeight="true" outlineLevel="0" collapsed="false">
      <c r="A12" s="9" t="s">
        <v>156</v>
      </c>
      <c r="B12" s="5" t="s">
        <v>446</v>
      </c>
      <c r="C12" s="5" t="s">
        <v>447</v>
      </c>
      <c r="D12" s="10"/>
      <c r="E12" s="5"/>
    </row>
    <row r="13" customFormat="false" ht="72" hidden="false" customHeight="true" outlineLevel="0" collapsed="false">
      <c r="A13" s="11" t="s">
        <v>162</v>
      </c>
      <c r="B13" s="12" t="s">
        <v>448</v>
      </c>
      <c r="C13" s="12" t="s">
        <v>449</v>
      </c>
      <c r="D13" s="13"/>
      <c r="E13" s="12"/>
    </row>
    <row r="14" customFormat="false" ht="18" hidden="false" customHeight="true" outlineLevel="0" collapsed="false">
      <c r="A14" s="8" t="s">
        <v>450</v>
      </c>
      <c r="B14" s="8"/>
      <c r="C14" s="8"/>
      <c r="D14" s="8"/>
      <c r="E14" s="8"/>
    </row>
    <row r="15" customFormat="false" ht="72" hidden="false" customHeight="true" outlineLevel="0" collapsed="false">
      <c r="A15" s="9" t="s">
        <v>451</v>
      </c>
      <c r="B15" s="5" t="s">
        <v>452</v>
      </c>
      <c r="C15" s="5" t="s">
        <v>453</v>
      </c>
      <c r="D15" s="10"/>
      <c r="E15" s="5"/>
    </row>
    <row r="16" customFormat="false" ht="72" hidden="false" customHeight="true" outlineLevel="0" collapsed="false">
      <c r="A16" s="11" t="s">
        <v>454</v>
      </c>
      <c r="B16" s="12" t="s">
        <v>455</v>
      </c>
      <c r="C16" s="12" t="s">
        <v>456</v>
      </c>
      <c r="D16" s="13"/>
      <c r="E16" s="12"/>
    </row>
  </sheetData>
  <mergeCells count="7">
    <mergeCell ref="A1:E1"/>
    <mergeCell ref="A2:E2"/>
    <mergeCell ref="A3:E3"/>
    <mergeCell ref="A5:E5"/>
    <mergeCell ref="A8:E8"/>
    <mergeCell ref="A11:E1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37.5" hidden="false" customHeight="true" outlineLevel="0" collapsed="false">
      <c r="A1" s="1" t="s">
        <v>457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458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459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5" t="s">
        <v>460</v>
      </c>
      <c r="B4" s="5"/>
      <c r="C4" s="5"/>
      <c r="D4" s="5"/>
      <c r="E4" s="5"/>
      <c r="F4" s="5"/>
    </row>
    <row r="5" customFormat="false" ht="18" hidden="false" customHeight="true" outlineLevel="0" collapsed="false">
      <c r="A5" s="5" t="s">
        <v>461</v>
      </c>
      <c r="B5" s="5"/>
      <c r="C5" s="5"/>
      <c r="D5" s="5"/>
      <c r="E5" s="5"/>
      <c r="F5" s="5"/>
    </row>
    <row r="6" customFormat="false" ht="18" hidden="false" customHeight="true" outlineLevel="0" collapsed="false">
      <c r="A6" s="5" t="s">
        <v>462</v>
      </c>
      <c r="B6" s="5"/>
      <c r="C6" s="5"/>
      <c r="D6" s="5"/>
      <c r="E6" s="5"/>
      <c r="F6" s="5"/>
    </row>
    <row r="7" customFormat="false" ht="18" hidden="false" customHeight="true" outlineLevel="0" collapsed="false">
      <c r="A7" s="5" t="s">
        <v>463</v>
      </c>
      <c r="B7" s="5"/>
      <c r="C7" s="5"/>
      <c r="D7" s="5"/>
      <c r="E7" s="5"/>
      <c r="F7" s="5"/>
    </row>
    <row r="8" customFormat="false" ht="19.5" hidden="false" customHeight="true" outlineLevel="0" collapsed="false">
      <c r="A8" s="3" t="s">
        <v>464</v>
      </c>
      <c r="B8" s="3"/>
      <c r="C8" s="3"/>
      <c r="D8" s="3"/>
      <c r="E8" s="3"/>
      <c r="F8" s="3"/>
    </row>
    <row r="9" customFormat="false" ht="24" hidden="false" customHeight="true" outlineLevel="0" collapsed="false">
      <c r="A9" s="7" t="s">
        <v>278</v>
      </c>
      <c r="B9" s="7" t="s">
        <v>128</v>
      </c>
      <c r="C9" s="7" t="s">
        <v>433</v>
      </c>
      <c r="D9" s="7" t="s">
        <v>465</v>
      </c>
      <c r="E9" s="7" t="s">
        <v>466</v>
      </c>
      <c r="F9" s="7" t="s">
        <v>467</v>
      </c>
    </row>
    <row r="10" customFormat="false" ht="21.75" hidden="false" customHeight="true" outlineLevel="0" collapsed="false">
      <c r="A10" s="17" t="s">
        <v>468</v>
      </c>
      <c r="B10" s="10" t="s">
        <v>158</v>
      </c>
      <c r="C10" s="10"/>
      <c r="D10" s="10" t="str">
        <f aca="false">IF(C10="","",C10*0.2)</f>
        <v/>
      </c>
      <c r="E10" s="10" t="s">
        <v>469</v>
      </c>
      <c r="F10" s="5"/>
    </row>
    <row r="11" customFormat="false" ht="21.75" hidden="false" customHeight="true" outlineLevel="0" collapsed="false">
      <c r="A11" s="22" t="s">
        <v>470</v>
      </c>
      <c r="B11" s="13" t="s">
        <v>199</v>
      </c>
      <c r="C11" s="13"/>
      <c r="D11" s="13" t="str">
        <f aca="false">IF(C11="","",C11*0.25)</f>
        <v/>
      </c>
      <c r="E11" s="13" t="s">
        <v>469</v>
      </c>
      <c r="F11" s="12"/>
    </row>
    <row r="12" customFormat="false" ht="21.75" hidden="false" customHeight="true" outlineLevel="0" collapsed="false">
      <c r="A12" s="17" t="s">
        <v>471</v>
      </c>
      <c r="B12" s="10" t="s">
        <v>146</v>
      </c>
      <c r="C12" s="10"/>
      <c r="D12" s="10" t="str">
        <f aca="false">IF(C12="","",C12*0.15)</f>
        <v/>
      </c>
      <c r="E12" s="10" t="s">
        <v>469</v>
      </c>
      <c r="F12" s="5"/>
    </row>
    <row r="13" customFormat="false" ht="21.75" hidden="false" customHeight="true" outlineLevel="0" collapsed="false">
      <c r="A13" s="22" t="s">
        <v>472</v>
      </c>
      <c r="B13" s="13" t="s">
        <v>158</v>
      </c>
      <c r="C13" s="13"/>
      <c r="D13" s="13" t="str">
        <f aca="false">IF(C13="","",C13*0.2)</f>
        <v/>
      </c>
      <c r="E13" s="13" t="s">
        <v>469</v>
      </c>
      <c r="F13" s="12"/>
    </row>
    <row r="14" customFormat="false" ht="21.75" hidden="false" customHeight="true" outlineLevel="0" collapsed="false">
      <c r="A14" s="17" t="s">
        <v>473</v>
      </c>
      <c r="B14" s="10" t="s">
        <v>164</v>
      </c>
      <c r="C14" s="10"/>
      <c r="D14" s="10" t="str">
        <f aca="false">IF(C14="","",C14*0.12)</f>
        <v/>
      </c>
      <c r="E14" s="10" t="s">
        <v>469</v>
      </c>
      <c r="F14" s="5"/>
    </row>
    <row r="15" customFormat="false" ht="21.75" hidden="false" customHeight="true" outlineLevel="0" collapsed="false">
      <c r="A15" s="22" t="s">
        <v>474</v>
      </c>
      <c r="B15" s="13" t="s">
        <v>212</v>
      </c>
      <c r="C15" s="13"/>
      <c r="D15" s="13" t="str">
        <f aca="false">IF(C15="","",C15*0.08)</f>
        <v/>
      </c>
      <c r="E15" s="13" t="s">
        <v>469</v>
      </c>
      <c r="F15" s="12"/>
    </row>
    <row r="16" customFormat="false" ht="21.75" hidden="false" customHeight="true" outlineLevel="0" collapsed="false">
      <c r="A16" s="14" t="s">
        <v>475</v>
      </c>
      <c r="B16" s="8"/>
      <c r="C16" s="8"/>
      <c r="D16" s="7" t="n">
        <f aca="false">SUM(D10:D15)</f>
        <v>0</v>
      </c>
      <c r="E16" s="8"/>
      <c r="F16" s="8"/>
    </row>
    <row r="17" customFormat="false" ht="19.5" hidden="false" customHeight="true" outlineLevel="0" collapsed="false">
      <c r="A17" s="3" t="s">
        <v>476</v>
      </c>
      <c r="B17" s="3"/>
      <c r="C17" s="3"/>
      <c r="D17" s="3"/>
      <c r="E17" s="3"/>
      <c r="F17" s="3"/>
    </row>
    <row r="18" customFormat="false" ht="19.5" hidden="false" customHeight="true" outlineLevel="0" collapsed="false">
      <c r="A18" s="5" t="s">
        <v>477</v>
      </c>
      <c r="B18" s="5"/>
      <c r="C18" s="5"/>
      <c r="D18" s="5"/>
      <c r="E18" s="5"/>
      <c r="F18" s="5"/>
    </row>
    <row r="19" customFormat="false" ht="19.5" hidden="false" customHeight="true" outlineLevel="0" collapsed="false">
      <c r="A19" s="5" t="s">
        <v>478</v>
      </c>
      <c r="B19" s="5"/>
      <c r="C19" s="5"/>
      <c r="D19" s="5"/>
      <c r="E19" s="5"/>
      <c r="F19" s="5"/>
    </row>
    <row r="20" customFormat="false" ht="19.5" hidden="false" customHeight="true" outlineLevel="0" collapsed="false">
      <c r="A20" s="5" t="s">
        <v>479</v>
      </c>
      <c r="B20" s="5"/>
      <c r="C20" s="5"/>
      <c r="D20" s="5"/>
      <c r="E20" s="5"/>
      <c r="F20" s="5"/>
    </row>
    <row r="21" customFormat="false" ht="19.5" hidden="false" customHeight="true" outlineLevel="0" collapsed="false">
      <c r="A21" s="5" t="s">
        <v>480</v>
      </c>
      <c r="B21" s="5"/>
      <c r="C21" s="5"/>
      <c r="D21" s="5"/>
      <c r="E21" s="5"/>
      <c r="F21" s="5"/>
    </row>
    <row r="22" customFormat="false" ht="19.5" hidden="false" customHeight="true" outlineLevel="0" collapsed="false">
      <c r="A22" s="5" t="s">
        <v>481</v>
      </c>
      <c r="B22" s="5"/>
      <c r="C22" s="5"/>
      <c r="D22" s="5"/>
      <c r="E22" s="5"/>
      <c r="F22" s="5"/>
    </row>
    <row r="23" customFormat="false" ht="19.5" hidden="false" customHeight="true" outlineLevel="0" collapsed="false">
      <c r="A23" s="5" t="s">
        <v>482</v>
      </c>
      <c r="B23" s="5"/>
      <c r="C23" s="5"/>
      <c r="D23" s="5"/>
      <c r="E23" s="5"/>
      <c r="F23" s="5"/>
    </row>
    <row r="24" customFormat="false" ht="19.5" hidden="false" customHeight="true" outlineLevel="0" collapsed="false">
      <c r="A24" s="3" t="s">
        <v>483</v>
      </c>
      <c r="B24" s="3"/>
      <c r="C24" s="3"/>
      <c r="D24" s="3"/>
      <c r="E24" s="3"/>
      <c r="F24" s="3"/>
    </row>
    <row r="25" customFormat="false" ht="21.75" hidden="false" customHeight="true" outlineLevel="0" collapsed="false">
      <c r="A25" s="17" t="s">
        <v>484</v>
      </c>
      <c r="B25" s="5" t="s">
        <v>485</v>
      </c>
      <c r="C25" s="5"/>
      <c r="D25" s="5"/>
      <c r="E25" s="5"/>
      <c r="F25" s="5"/>
    </row>
    <row r="26" customFormat="false" ht="21.75" hidden="false" customHeight="true" outlineLevel="0" collapsed="false">
      <c r="A26" s="22" t="s">
        <v>486</v>
      </c>
      <c r="B26" s="12" t="s">
        <v>487</v>
      </c>
      <c r="C26" s="12"/>
      <c r="D26" s="12"/>
      <c r="E26" s="12"/>
      <c r="F26" s="12"/>
    </row>
    <row r="27" customFormat="false" ht="21.75" hidden="false" customHeight="true" outlineLevel="0" collapsed="false">
      <c r="A27" s="17" t="s">
        <v>488</v>
      </c>
      <c r="B27" s="5" t="s">
        <v>489</v>
      </c>
      <c r="C27" s="5"/>
      <c r="D27" s="5"/>
      <c r="E27" s="5"/>
      <c r="F27" s="5"/>
    </row>
    <row r="28" customFormat="false" ht="21.75" hidden="false" customHeight="true" outlineLevel="0" collapsed="false">
      <c r="A28" s="22" t="s">
        <v>490</v>
      </c>
      <c r="B28" s="12" t="s">
        <v>491</v>
      </c>
      <c r="C28" s="12"/>
      <c r="D28" s="12"/>
      <c r="E28" s="12"/>
      <c r="F28" s="12"/>
    </row>
  </sheetData>
  <mergeCells count="20">
    <mergeCell ref="A1:F1"/>
    <mergeCell ref="A2:F2"/>
    <mergeCell ref="A3:F3"/>
    <mergeCell ref="A4:F4"/>
    <mergeCell ref="A5:F5"/>
    <mergeCell ref="A6:F6"/>
    <mergeCell ref="A7:F7"/>
    <mergeCell ref="A8:F8"/>
    <mergeCell ref="A17:F17"/>
    <mergeCell ref="A18:F18"/>
    <mergeCell ref="A19:F19"/>
    <mergeCell ref="A20:F20"/>
    <mergeCell ref="A21:F21"/>
    <mergeCell ref="A22:F22"/>
    <mergeCell ref="A23:F23"/>
    <mergeCell ref="A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37.5" hidden="false" customHeight="true" outlineLevel="0" collapsed="false">
      <c r="A1" s="1" t="s">
        <v>492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493</v>
      </c>
      <c r="B2" s="2"/>
      <c r="C2" s="2"/>
      <c r="D2" s="2"/>
      <c r="E2" s="2"/>
    </row>
    <row r="3" customFormat="false" ht="33.75" hidden="false" customHeight="true" outlineLevel="0" collapsed="false">
      <c r="A3" s="6" t="s">
        <v>494</v>
      </c>
      <c r="B3" s="6"/>
      <c r="C3" s="6"/>
      <c r="D3" s="6"/>
      <c r="E3" s="6"/>
    </row>
    <row r="4" customFormat="false" ht="33.75" hidden="false" customHeight="true" outlineLevel="0" collapsed="false">
      <c r="A4" s="6" t="s">
        <v>495</v>
      </c>
      <c r="B4" s="6"/>
      <c r="C4" s="6"/>
      <c r="D4" s="6"/>
      <c r="E4" s="6"/>
    </row>
    <row r="5" customFormat="false" ht="24" hidden="false" customHeight="true" outlineLevel="0" collapsed="false">
      <c r="A5" s="7" t="s">
        <v>496</v>
      </c>
      <c r="B5" s="7" t="s">
        <v>497</v>
      </c>
      <c r="C5" s="7" t="s">
        <v>498</v>
      </c>
      <c r="D5" s="7" t="s">
        <v>499</v>
      </c>
      <c r="E5" s="7" t="s">
        <v>500</v>
      </c>
    </row>
    <row r="6" customFormat="false" ht="18" hidden="false" customHeight="true" outlineLevel="0" collapsed="false">
      <c r="A6" s="8" t="s">
        <v>501</v>
      </c>
      <c r="B6" s="8"/>
      <c r="C6" s="8"/>
      <c r="D6" s="8"/>
      <c r="E6" s="8"/>
    </row>
    <row r="7" customFormat="false" ht="55.5" hidden="false" customHeight="true" outlineLevel="0" collapsed="false">
      <c r="A7" s="9" t="s">
        <v>502</v>
      </c>
      <c r="B7" s="5" t="s">
        <v>503</v>
      </c>
      <c r="C7" s="5" t="s">
        <v>504</v>
      </c>
      <c r="D7" s="10" t="s">
        <v>73</v>
      </c>
      <c r="E7" s="10" t="s">
        <v>505</v>
      </c>
    </row>
    <row r="8" customFormat="false" ht="55.5" hidden="false" customHeight="true" outlineLevel="0" collapsed="false">
      <c r="A8" s="11" t="s">
        <v>506</v>
      </c>
      <c r="B8" s="12" t="s">
        <v>507</v>
      </c>
      <c r="C8" s="12" t="s">
        <v>508</v>
      </c>
      <c r="D8" s="13" t="s">
        <v>49</v>
      </c>
      <c r="E8" s="13" t="s">
        <v>505</v>
      </c>
    </row>
    <row r="9" customFormat="false" ht="55.5" hidden="false" customHeight="true" outlineLevel="0" collapsed="false">
      <c r="A9" s="9" t="s">
        <v>509</v>
      </c>
      <c r="B9" s="5" t="s">
        <v>510</v>
      </c>
      <c r="C9" s="5" t="s">
        <v>511</v>
      </c>
      <c r="D9" s="10" t="s">
        <v>512</v>
      </c>
      <c r="E9" s="10" t="s">
        <v>505</v>
      </c>
    </row>
    <row r="10" customFormat="false" ht="55.5" hidden="false" customHeight="true" outlineLevel="0" collapsed="false">
      <c r="A10" s="11" t="s">
        <v>513</v>
      </c>
      <c r="B10" s="12" t="s">
        <v>514</v>
      </c>
      <c r="C10" s="12" t="s">
        <v>515</v>
      </c>
      <c r="D10" s="13" t="s">
        <v>49</v>
      </c>
      <c r="E10" s="13" t="s">
        <v>505</v>
      </c>
    </row>
    <row r="11" customFormat="false" ht="51.75" hidden="false" customHeight="true" outlineLevel="0" collapsed="false">
      <c r="A11" s="24" t="s">
        <v>516</v>
      </c>
      <c r="B11" s="24" t="s">
        <v>517</v>
      </c>
      <c r="C11" s="20" t="s">
        <v>518</v>
      </c>
      <c r="D11" s="25" t="s">
        <v>49</v>
      </c>
      <c r="E11" s="25" t="s">
        <v>505</v>
      </c>
    </row>
    <row r="12" customFormat="false" ht="18" hidden="false" customHeight="true" outlineLevel="0" collapsed="false">
      <c r="A12" s="8" t="s">
        <v>519</v>
      </c>
      <c r="B12" s="8"/>
      <c r="C12" s="8"/>
      <c r="D12" s="8"/>
      <c r="E12" s="8"/>
    </row>
    <row r="13" customFormat="false" ht="55.5" hidden="false" customHeight="true" outlineLevel="0" collapsed="false">
      <c r="A13" s="9" t="s">
        <v>520</v>
      </c>
      <c r="B13" s="5" t="s">
        <v>521</v>
      </c>
      <c r="C13" s="5" t="s">
        <v>522</v>
      </c>
      <c r="D13" s="10" t="s">
        <v>73</v>
      </c>
      <c r="E13" s="10" t="s">
        <v>505</v>
      </c>
    </row>
    <row r="14" customFormat="false" ht="55.5" hidden="false" customHeight="true" outlineLevel="0" collapsed="false">
      <c r="A14" s="11" t="s">
        <v>523</v>
      </c>
      <c r="B14" s="12" t="s">
        <v>524</v>
      </c>
      <c r="C14" s="12" t="s">
        <v>525</v>
      </c>
      <c r="D14" s="13" t="s">
        <v>78</v>
      </c>
      <c r="E14" s="13" t="s">
        <v>505</v>
      </c>
    </row>
    <row r="15" customFormat="false" ht="55.5" hidden="false" customHeight="true" outlineLevel="0" collapsed="false">
      <c r="A15" s="9" t="s">
        <v>526</v>
      </c>
      <c r="B15" s="5" t="s">
        <v>527</v>
      </c>
      <c r="C15" s="5" t="s">
        <v>528</v>
      </c>
      <c r="D15" s="10" t="s">
        <v>529</v>
      </c>
      <c r="E15" s="10" t="s">
        <v>505</v>
      </c>
    </row>
    <row r="16" customFormat="false" ht="51.75" hidden="false" customHeight="true" outlineLevel="0" collapsed="false">
      <c r="A16" s="24" t="s">
        <v>530</v>
      </c>
      <c r="B16" s="24" t="s">
        <v>517</v>
      </c>
      <c r="C16" s="20" t="s">
        <v>531</v>
      </c>
      <c r="D16" s="25" t="s">
        <v>49</v>
      </c>
      <c r="E16" s="25" t="s">
        <v>505</v>
      </c>
    </row>
    <row r="17" customFormat="false" ht="18" hidden="false" customHeight="true" outlineLevel="0" collapsed="false">
      <c r="A17" s="8" t="s">
        <v>532</v>
      </c>
      <c r="B17" s="8"/>
      <c r="C17" s="8"/>
      <c r="D17" s="8"/>
      <c r="E17" s="8"/>
    </row>
    <row r="18" customFormat="false" ht="55.5" hidden="false" customHeight="true" outlineLevel="0" collapsed="false">
      <c r="A18" s="11" t="s">
        <v>533</v>
      </c>
      <c r="B18" s="12" t="s">
        <v>534</v>
      </c>
      <c r="C18" s="12" t="s">
        <v>535</v>
      </c>
      <c r="D18" s="13" t="s">
        <v>536</v>
      </c>
      <c r="E18" s="13" t="s">
        <v>505</v>
      </c>
    </row>
    <row r="19" customFormat="false" ht="55.5" hidden="false" customHeight="true" outlineLevel="0" collapsed="false">
      <c r="A19" s="9" t="s">
        <v>537</v>
      </c>
      <c r="B19" s="5" t="s">
        <v>538</v>
      </c>
      <c r="C19" s="5" t="s">
        <v>539</v>
      </c>
      <c r="D19" s="10" t="s">
        <v>540</v>
      </c>
      <c r="E19" s="10" t="s">
        <v>505</v>
      </c>
    </row>
    <row r="20" customFormat="false" ht="55.5" hidden="false" customHeight="true" outlineLevel="0" collapsed="false">
      <c r="A20" s="11" t="s">
        <v>541</v>
      </c>
      <c r="B20" s="12" t="s">
        <v>542</v>
      </c>
      <c r="C20" s="12" t="s">
        <v>543</v>
      </c>
      <c r="D20" s="13" t="s">
        <v>49</v>
      </c>
      <c r="E20" s="13" t="s">
        <v>505</v>
      </c>
    </row>
    <row r="21" customFormat="false" ht="51.75" hidden="false" customHeight="true" outlineLevel="0" collapsed="false">
      <c r="A21" s="24" t="s">
        <v>544</v>
      </c>
      <c r="B21" s="24" t="s">
        <v>517</v>
      </c>
      <c r="C21" s="20" t="s">
        <v>545</v>
      </c>
      <c r="D21" s="25" t="s">
        <v>49</v>
      </c>
      <c r="E21" s="25" t="s">
        <v>505</v>
      </c>
    </row>
  </sheetData>
  <mergeCells count="7">
    <mergeCell ref="A1:E1"/>
    <mergeCell ref="A2:E2"/>
    <mergeCell ref="A3:E3"/>
    <mergeCell ref="A4:E4"/>
    <mergeCell ref="A6:E6"/>
    <mergeCell ref="A12:E1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40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" t="s">
        <v>546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547</v>
      </c>
      <c r="B2" s="2"/>
      <c r="C2" s="2"/>
      <c r="D2" s="2"/>
      <c r="E2" s="2"/>
    </row>
    <row r="3" customFormat="false" ht="24" hidden="false" customHeight="true" outlineLevel="0" collapsed="false">
      <c r="A3" s="7" t="s">
        <v>238</v>
      </c>
      <c r="B3" s="7" t="s">
        <v>239</v>
      </c>
      <c r="C3" s="7" t="s">
        <v>240</v>
      </c>
      <c r="D3" s="7" t="s">
        <v>241</v>
      </c>
      <c r="E3" s="7" t="s">
        <v>243</v>
      </c>
    </row>
    <row r="4" customFormat="false" ht="45.75" hidden="false" customHeight="true" outlineLevel="0" collapsed="false">
      <c r="A4" s="9" t="s">
        <v>244</v>
      </c>
      <c r="B4" s="5" t="s">
        <v>245</v>
      </c>
      <c r="C4" s="5" t="s">
        <v>548</v>
      </c>
      <c r="D4" s="5" t="s">
        <v>247</v>
      </c>
      <c r="E4" s="10" t="s">
        <v>248</v>
      </c>
    </row>
    <row r="5" customFormat="false" ht="45.75" hidden="false" customHeight="true" outlineLevel="0" collapsed="false">
      <c r="A5" s="11" t="s">
        <v>549</v>
      </c>
      <c r="B5" s="12" t="s">
        <v>550</v>
      </c>
      <c r="C5" s="12" t="s">
        <v>251</v>
      </c>
      <c r="D5" s="12" t="s">
        <v>252</v>
      </c>
      <c r="E5" s="13" t="s">
        <v>551</v>
      </c>
    </row>
    <row r="6" customFormat="false" ht="45.75" hidden="false" customHeight="true" outlineLevel="0" collapsed="false">
      <c r="A6" s="9" t="s">
        <v>552</v>
      </c>
      <c r="B6" s="5" t="s">
        <v>255</v>
      </c>
      <c r="C6" s="5" t="s">
        <v>553</v>
      </c>
      <c r="D6" s="5" t="s">
        <v>257</v>
      </c>
      <c r="E6" s="10" t="s">
        <v>554</v>
      </c>
    </row>
    <row r="7" customFormat="false" ht="45.75" hidden="false" customHeight="true" outlineLevel="0" collapsed="false">
      <c r="A7" s="11" t="s">
        <v>260</v>
      </c>
      <c r="B7" s="12" t="s">
        <v>261</v>
      </c>
      <c r="C7" s="12" t="s">
        <v>262</v>
      </c>
      <c r="D7" s="12" t="s">
        <v>263</v>
      </c>
      <c r="E7" s="13" t="s">
        <v>265</v>
      </c>
    </row>
    <row r="8" customFormat="false" ht="19.5" hidden="false" customHeight="true" outlineLevel="0" collapsed="false">
      <c r="A8" s="3" t="s">
        <v>555</v>
      </c>
      <c r="B8" s="3"/>
      <c r="C8" s="3"/>
      <c r="D8" s="3"/>
      <c r="E8" s="3"/>
    </row>
    <row r="9" customFormat="false" ht="33.75" hidden="false" customHeight="true" outlineLevel="0" collapsed="false">
      <c r="A9" s="5" t="s">
        <v>556</v>
      </c>
      <c r="B9" s="5"/>
      <c r="C9" s="5"/>
      <c r="D9" s="5"/>
      <c r="E9" s="5"/>
    </row>
    <row r="10" customFormat="false" ht="33.75" hidden="false" customHeight="true" outlineLevel="0" collapsed="false">
      <c r="A10" s="5" t="s">
        <v>557</v>
      </c>
      <c r="B10" s="5"/>
      <c r="C10" s="5"/>
      <c r="D10" s="5"/>
      <c r="E10" s="5"/>
    </row>
    <row r="11" customFormat="false" ht="33.75" hidden="false" customHeight="true" outlineLevel="0" collapsed="false">
      <c r="A11" s="5" t="s">
        <v>558</v>
      </c>
      <c r="B11" s="5"/>
      <c r="C11" s="5"/>
      <c r="D11" s="5"/>
      <c r="E11" s="5"/>
    </row>
    <row r="12" customFormat="false" ht="19.5" hidden="false" customHeight="true" outlineLevel="0" collapsed="false">
      <c r="A12" s="3" t="s">
        <v>559</v>
      </c>
      <c r="B12" s="3"/>
      <c r="C12" s="3"/>
      <c r="D12" s="3"/>
      <c r="E12" s="3"/>
    </row>
    <row r="13" customFormat="false" ht="24" hidden="false" customHeight="true" outlineLevel="0" collapsed="false">
      <c r="A13" s="26" t="s">
        <v>560</v>
      </c>
      <c r="B13" s="26"/>
      <c r="C13" s="26"/>
      <c r="D13" s="26"/>
      <c r="E13" s="26"/>
    </row>
    <row r="14" customFormat="false" ht="24" hidden="false" customHeight="true" outlineLevel="0" collapsed="false">
      <c r="A14" s="26" t="s">
        <v>561</v>
      </c>
      <c r="B14" s="26"/>
      <c r="C14" s="26"/>
      <c r="D14" s="26"/>
      <c r="E14" s="26"/>
    </row>
    <row r="15" customFormat="false" ht="24" hidden="false" customHeight="true" outlineLevel="0" collapsed="false">
      <c r="A15" s="26" t="s">
        <v>562</v>
      </c>
      <c r="B15" s="26"/>
      <c r="C15" s="26"/>
      <c r="D15" s="26"/>
      <c r="E15" s="26"/>
    </row>
  </sheetData>
  <mergeCells count="10">
    <mergeCell ref="A1:E1"/>
    <mergeCell ref="A2:E2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2026-06-04T05:14:34Z</dcterms:created>
  <dc:creator>openpyxl</dc:creator>
  <dc:description/>
  <dc:language>en-US</dc:language>
  <cp:lastModifiedBy/>
  <dcterms:modified xsi:type="dcterms:W3CDTF">2026-06-04T05:14:34Z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